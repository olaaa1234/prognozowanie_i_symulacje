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vdi-fs01.ue.poznan\Profiles$\91841\Downloads\"/>
    </mc:Choice>
  </mc:AlternateContent>
  <xr:revisionPtr revIDLastSave="0" documentId="13_ncr:1_{C0A99F1B-3505-4DA0-8B05-50FCFEAC94F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strukcja" sheetId="1" r:id="rId1"/>
    <sheet name="Wykladniczy" sheetId="2" r:id="rId2"/>
    <sheet name="Potegowy" sheetId="3" r:id="rId3"/>
    <sheet name="CW" sheetId="4" r:id="rId4"/>
    <sheet name="Modele_CW" sheetId="5" r:id="rId5"/>
    <sheet name="Realizacj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3" l="1"/>
  <c r="L42" i="3"/>
  <c r="L40" i="3"/>
  <c r="K41" i="3"/>
  <c r="K42" i="3"/>
  <c r="K40" i="3"/>
  <c r="G9" i="3" a="1"/>
  <c r="G9" i="3" s="1"/>
  <c r="H9" i="3" s="1" a="1"/>
  <c r="H9" i="3" s="1"/>
  <c r="K13" i="3" s="1"/>
  <c r="K14" i="3" s="1"/>
  <c r="G40" i="3"/>
  <c r="D40" i="3" a="1"/>
  <c r="D40" i="3" s="1"/>
  <c r="G41" i="3"/>
  <c r="G42" i="3"/>
  <c r="K16" i="3" a="1"/>
  <c r="K16" i="3"/>
  <c r="C41" i="3"/>
  <c r="C42" i="3"/>
  <c r="C40" i="3"/>
  <c r="K22" i="3"/>
  <c r="E36" i="3" a="1"/>
  <c r="E36" i="3" s="1"/>
  <c r="B37" i="3"/>
  <c r="A37" i="3"/>
  <c r="A36" i="3"/>
  <c r="B36" i="3"/>
  <c r="K15" i="3"/>
  <c r="K12" i="3"/>
  <c r="K11" i="3"/>
  <c r="K9" i="3"/>
  <c r="F9" i="3" a="1"/>
  <c r="F9" i="3" s="1"/>
  <c r="E32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9" i="3"/>
  <c r="D9" i="3" a="1"/>
  <c r="D9" i="3" s="1"/>
  <c r="M41" i="2"/>
  <c r="M42" i="2"/>
  <c r="M40" i="2"/>
  <c r="N42" i="2"/>
  <c r="G40" i="2"/>
  <c r="F40" i="2"/>
  <c r="N41" i="2"/>
  <c r="N40" i="2"/>
  <c r="L41" i="2"/>
  <c r="L42" i="2"/>
  <c r="L40" i="2"/>
  <c r="K41" i="2"/>
  <c r="K42" i="2"/>
  <c r="K40" i="2"/>
  <c r="J41" i="2"/>
  <c r="J42" i="2"/>
  <c r="J40" i="2"/>
  <c r="I40" i="2"/>
  <c r="I41" i="2"/>
  <c r="I42" i="2"/>
  <c r="H41" i="2"/>
  <c r="H42" i="2"/>
  <c r="H40" i="2"/>
  <c r="F41" i="2"/>
  <c r="F42" i="2"/>
  <c r="E41" i="2" a="1"/>
  <c r="E41" i="2"/>
  <c r="E42" i="2" a="1"/>
  <c r="E42" i="2"/>
  <c r="E40" i="2" a="1"/>
  <c r="E40" i="2"/>
  <c r="G41" i="2"/>
  <c r="G42" i="2"/>
  <c r="D40" i="2" a="1"/>
  <c r="D40" i="2" s="1"/>
  <c r="C41" i="2"/>
  <c r="C42" i="2"/>
  <c r="C40" i="2"/>
  <c r="I37" i="2"/>
  <c r="I36" i="2"/>
  <c r="E36" i="2" a="1"/>
  <c r="E36" i="2" s="1"/>
  <c r="B37" i="2"/>
  <c r="A37" i="2"/>
  <c r="B36" i="2"/>
  <c r="A36" i="2"/>
  <c r="K14" i="2"/>
  <c r="K18" i="2"/>
  <c r="K17" i="2"/>
  <c r="K16" i="2" a="1"/>
  <c r="K16" i="2"/>
  <c r="K15" i="2"/>
  <c r="F9" i="2" a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K12" i="2"/>
  <c r="K11" i="2"/>
  <c r="K9" i="2"/>
  <c r="N12" i="2" a="1"/>
  <c r="N12" i="2" s="1"/>
  <c r="D32" i="2"/>
  <c r="E32" i="2"/>
  <c r="D26" i="2"/>
  <c r="E26" i="2"/>
  <c r="D27" i="2"/>
  <c r="E27" i="2"/>
  <c r="D28" i="2"/>
  <c r="E28" i="2"/>
  <c r="D29" i="2"/>
  <c r="E29" i="2"/>
  <c r="D30" i="2"/>
  <c r="E30" i="2"/>
  <c r="D31" i="2"/>
  <c r="E31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9" i="2"/>
  <c r="E9" i="2"/>
  <c r="F47" i="5" a="1"/>
  <c r="H47" i="5" a="1"/>
  <c r="F48" i="5" a="1"/>
  <c r="F48" i="5"/>
  <c r="G48" i="5"/>
  <c r="H48" i="5" a="1"/>
  <c r="H48" i="5"/>
  <c r="I48" i="5"/>
  <c r="J48" i="5"/>
  <c r="K48" i="5"/>
  <c r="L48" i="5"/>
  <c r="F49" i="5" a="1"/>
  <c r="F49" i="5"/>
  <c r="G49" i="5"/>
  <c r="H49" i="5" a="1"/>
  <c r="H49" i="5"/>
  <c r="I49" i="5"/>
  <c r="J49" i="5"/>
  <c r="K49" i="5"/>
  <c r="C13" i="4" s="1"/>
  <c r="L49" i="5"/>
  <c r="F50" i="5" a="1"/>
  <c r="F50" i="5"/>
  <c r="G50" i="5"/>
  <c r="H50" i="5" a="1"/>
  <c r="H50" i="5"/>
  <c r="I50" i="5"/>
  <c r="J50" i="5"/>
  <c r="K50" i="5"/>
  <c r="C14" i="4" s="1"/>
  <c r="L50" i="5"/>
  <c r="F51" i="5" a="1"/>
  <c r="F51" i="5"/>
  <c r="G51" i="5"/>
  <c r="H51" i="5" a="1"/>
  <c r="H51" i="5"/>
  <c r="I51" i="5"/>
  <c r="J51" i="5"/>
  <c r="K51" i="5"/>
  <c r="C15" i="4" s="1"/>
  <c r="L51" i="5"/>
  <c r="F52" i="5" a="1"/>
  <c r="F52" i="5"/>
  <c r="G52" i="5"/>
  <c r="H52" i="5" a="1"/>
  <c r="K52" i="5"/>
  <c r="F53" i="5" a="1"/>
  <c r="H53" i="5" a="1"/>
  <c r="H53" i="5"/>
  <c r="I53" i="5"/>
  <c r="J53" i="5"/>
  <c r="L53" i="5"/>
  <c r="F54" i="5" a="1"/>
  <c r="F54" i="5"/>
  <c r="G54" i="5"/>
  <c r="H54" i="5" a="1"/>
  <c r="K54" i="5"/>
  <c r="C18" i="4" s="1"/>
  <c r="F55" i="5" a="1"/>
  <c r="H55" i="5" a="1"/>
  <c r="F56" i="5" a="1"/>
  <c r="F56" i="5"/>
  <c r="G56" i="5"/>
  <c r="H56" i="5" a="1"/>
  <c r="H56" i="5"/>
  <c r="I56" i="5"/>
  <c r="J56" i="5"/>
  <c r="K56" i="5"/>
  <c r="L56" i="5"/>
  <c r="F57" i="5" a="1"/>
  <c r="F57" i="5"/>
  <c r="G57" i="5"/>
  <c r="H57" i="5" a="1"/>
  <c r="H57" i="5"/>
  <c r="I57" i="5"/>
  <c r="J57" i="5"/>
  <c r="K57" i="5"/>
  <c r="C21" i="4" s="1"/>
  <c r="L57" i="5"/>
  <c r="F58" i="5" a="1"/>
  <c r="H58" i="5" a="1"/>
  <c r="F59" i="5" a="1"/>
  <c r="F59" i="5"/>
  <c r="G59" i="5"/>
  <c r="H59" i="5" a="1"/>
  <c r="K59" i="5"/>
  <c r="C23" i="4" s="1"/>
  <c r="F60" i="5" a="1"/>
  <c r="H60" i="5" a="1"/>
  <c r="F61" i="5" a="1"/>
  <c r="H61" i="5" a="1"/>
  <c r="F62" i="5" a="1"/>
  <c r="H62" i="5" a="1"/>
  <c r="F63" i="5" a="1"/>
  <c r="H63" i="5" a="1"/>
  <c r="F64" i="5" a="1"/>
  <c r="H64" i="5" a="1"/>
  <c r="F65" i="5" a="1"/>
  <c r="H65" i="5" a="1"/>
  <c r="F66" i="5" a="1"/>
  <c r="H66" i="5" a="1"/>
  <c r="F67" i="5" a="1"/>
  <c r="H67" i="5" a="1"/>
  <c r="F68" i="5" a="1"/>
  <c r="H68" i="5" a="1"/>
  <c r="F69" i="5" a="1"/>
  <c r="H69" i="5" a="1"/>
  <c r="F70" i="5" a="1"/>
  <c r="H70" i="5" a="1"/>
  <c r="F71" i="5" a="1"/>
  <c r="H71" i="5" a="1"/>
  <c r="F72" i="5" a="1"/>
  <c r="H72" i="5" a="1"/>
  <c r="F73" i="5" a="1"/>
  <c r="H73" i="5" a="1"/>
  <c r="F74" i="5" a="1"/>
  <c r="H74" i="5" a="1"/>
  <c r="F75" i="5" a="1"/>
  <c r="H75" i="5" a="1"/>
  <c r="F76" i="5" a="1"/>
  <c r="H76" i="5" a="1"/>
  <c r="H76" i="5"/>
  <c r="I76" i="5"/>
  <c r="J76" i="5"/>
  <c r="L76" i="5"/>
  <c r="F77" i="5" a="1"/>
  <c r="F77" i="5"/>
  <c r="G77" i="5"/>
  <c r="H77" i="5" a="1"/>
  <c r="H77" i="5"/>
  <c r="I77" i="5"/>
  <c r="J77" i="5"/>
  <c r="K77" i="5"/>
  <c r="L77" i="5"/>
  <c r="F78" i="5" a="1"/>
  <c r="F78" i="5"/>
  <c r="G78" i="5"/>
  <c r="H78" i="5" a="1"/>
  <c r="H78" i="5"/>
  <c r="I78" i="5"/>
  <c r="J78" i="5"/>
  <c r="K78" i="5"/>
  <c r="C42" i="4" s="1"/>
  <c r="L78" i="5"/>
  <c r="F79" i="5" a="1"/>
  <c r="F79" i="5"/>
  <c r="G79" i="5"/>
  <c r="H79" i="5" a="1"/>
  <c r="H79" i="5"/>
  <c r="I79" i="5"/>
  <c r="J79" i="5"/>
  <c r="K79" i="5"/>
  <c r="C43" i="4" s="1"/>
  <c r="L79" i="5"/>
  <c r="F80" i="5" a="1"/>
  <c r="H80" i="5" a="1"/>
  <c r="F81" i="5" a="1"/>
  <c r="H81" i="5" a="1"/>
  <c r="F82" i="5" a="1"/>
  <c r="H82" i="5" a="1"/>
  <c r="F83" i="5" a="1"/>
  <c r="H83" i="5" a="1"/>
  <c r="F84" i="5" a="1"/>
  <c r="H84" i="5" a="1"/>
  <c r="F85" i="5" a="1"/>
  <c r="H85" i="5" a="1"/>
  <c r="F86" i="5" a="1"/>
  <c r="H86" i="5" a="1"/>
  <c r="F87" i="5" a="1"/>
  <c r="H87" i="5" a="1"/>
  <c r="F88" i="5" a="1"/>
  <c r="H88" i="5" a="1"/>
  <c r="F89" i="5" a="1"/>
  <c r="H89" i="5" a="1"/>
  <c r="F90" i="5" a="1"/>
  <c r="H90" i="5" a="1"/>
  <c r="F91" i="5" a="1"/>
  <c r="F91" i="5"/>
  <c r="G91" i="5"/>
  <c r="H91" i="5" a="1"/>
  <c r="H91" i="5"/>
  <c r="I91" i="5"/>
  <c r="J91" i="5"/>
  <c r="K91" i="5"/>
  <c r="C55" i="4" s="1"/>
  <c r="L91" i="5"/>
  <c r="F92" i="5" a="1"/>
  <c r="F92" i="5"/>
  <c r="G92" i="5"/>
  <c r="H92" i="5" a="1"/>
  <c r="H92" i="5"/>
  <c r="I92" i="5"/>
  <c r="J92" i="5"/>
  <c r="K92" i="5"/>
  <c r="L92" i="5"/>
  <c r="F93" i="5" a="1"/>
  <c r="F93" i="5"/>
  <c r="G93" i="5"/>
  <c r="H93" i="5" a="1"/>
  <c r="H93" i="5"/>
  <c r="I93" i="5"/>
  <c r="J93" i="5"/>
  <c r="K93" i="5"/>
  <c r="L93" i="5"/>
  <c r="F94" i="5" a="1"/>
  <c r="F94" i="5"/>
  <c r="G94" i="5"/>
  <c r="H94" i="5" a="1"/>
  <c r="H94" i="5"/>
  <c r="I94" i="5"/>
  <c r="J94" i="5"/>
  <c r="K94" i="5"/>
  <c r="L94" i="5"/>
  <c r="F95" i="5" a="1"/>
  <c r="F95" i="5"/>
  <c r="G95" i="5"/>
  <c r="H95" i="5" a="1"/>
  <c r="H95" i="5"/>
  <c r="I95" i="5"/>
  <c r="J95" i="5"/>
  <c r="K95" i="5"/>
  <c r="C59" i="4" s="1"/>
  <c r="L95" i="5"/>
  <c r="F96" i="5" a="1"/>
  <c r="F96" i="5"/>
  <c r="G96" i="5"/>
  <c r="H96" i="5" a="1"/>
  <c r="K96" i="5"/>
  <c r="C60" i="4" s="1"/>
  <c r="F97" i="5" a="1"/>
  <c r="H97" i="5" a="1"/>
  <c r="F98" i="5" a="1"/>
  <c r="H98" i="5" a="1"/>
  <c r="F99" i="5" a="1"/>
  <c r="H99" i="5" a="1"/>
  <c r="F100" i="5" a="1"/>
  <c r="H100" i="5" a="1"/>
  <c r="F101" i="5" a="1"/>
  <c r="H101" i="5" a="1"/>
  <c r="F102" i="5" a="1"/>
  <c r="H102" i="5" a="1"/>
  <c r="F103" i="5" a="1"/>
  <c r="H103" i="5" a="1"/>
  <c r="F104" i="5" a="1"/>
  <c r="H104" i="5" a="1"/>
  <c r="F46" i="5" a="1"/>
  <c r="H46" i="5" a="1"/>
  <c r="H45" i="5" a="1"/>
  <c r="K45" i="5"/>
  <c r="F45" i="5" a="1"/>
  <c r="E104" i="5"/>
  <c r="C104" i="5"/>
  <c r="E103" i="5"/>
  <c r="C103" i="5"/>
  <c r="E102" i="5"/>
  <c r="C102" i="5"/>
  <c r="E101" i="5"/>
  <c r="C101" i="5"/>
  <c r="E100" i="5"/>
  <c r="C100" i="5"/>
  <c r="E99" i="5"/>
  <c r="C99" i="5"/>
  <c r="E98" i="5"/>
  <c r="C98" i="5"/>
  <c r="E97" i="5"/>
  <c r="C97" i="5"/>
  <c r="E96" i="5"/>
  <c r="C96" i="5"/>
  <c r="E95" i="5"/>
  <c r="C95" i="5"/>
  <c r="E94" i="5"/>
  <c r="C94" i="5"/>
  <c r="E93" i="5"/>
  <c r="C93" i="5"/>
  <c r="E92" i="5"/>
  <c r="C92" i="5"/>
  <c r="E91" i="5"/>
  <c r="C91" i="5"/>
  <c r="E90" i="5"/>
  <c r="C90" i="5"/>
  <c r="E89" i="5"/>
  <c r="C89" i="5"/>
  <c r="E88" i="5"/>
  <c r="C88" i="5"/>
  <c r="E87" i="5"/>
  <c r="C87" i="5"/>
  <c r="E86" i="5"/>
  <c r="C86" i="5"/>
  <c r="E85" i="5"/>
  <c r="C85" i="5"/>
  <c r="E84" i="5"/>
  <c r="C84" i="5"/>
  <c r="E83" i="5"/>
  <c r="C83" i="5"/>
  <c r="E82" i="5"/>
  <c r="C82" i="5"/>
  <c r="E81" i="5"/>
  <c r="C81" i="5"/>
  <c r="E80" i="5"/>
  <c r="C80" i="5"/>
  <c r="E79" i="5"/>
  <c r="C79" i="5"/>
  <c r="E78" i="5"/>
  <c r="C78" i="5"/>
  <c r="E77" i="5"/>
  <c r="C77" i="5"/>
  <c r="E76" i="5"/>
  <c r="C76" i="5"/>
  <c r="E75" i="5"/>
  <c r="C75" i="5"/>
  <c r="E74" i="5"/>
  <c r="C74" i="5"/>
  <c r="E73" i="5"/>
  <c r="C73" i="5"/>
  <c r="E72" i="5"/>
  <c r="C72" i="5"/>
  <c r="E71" i="5"/>
  <c r="C71" i="5"/>
  <c r="E70" i="5"/>
  <c r="C70" i="5"/>
  <c r="E69" i="5"/>
  <c r="C69" i="5"/>
  <c r="E68" i="5"/>
  <c r="C68" i="5"/>
  <c r="E67" i="5"/>
  <c r="C67" i="5"/>
  <c r="E66" i="5"/>
  <c r="C66" i="5"/>
  <c r="E65" i="5"/>
  <c r="C65" i="5"/>
  <c r="E64" i="5"/>
  <c r="C64" i="5"/>
  <c r="E63" i="5"/>
  <c r="C63" i="5"/>
  <c r="E62" i="5"/>
  <c r="C62" i="5"/>
  <c r="E61" i="5"/>
  <c r="C61" i="5"/>
  <c r="E60" i="5"/>
  <c r="C60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E40" i="3" l="1" a="1"/>
  <c r="E40" i="3" s="1"/>
  <c r="F40" i="3" s="1"/>
  <c r="E41" i="3" a="1"/>
  <c r="E41" i="3" s="1"/>
  <c r="F41" i="3" s="1"/>
  <c r="H41" i="3" s="1"/>
  <c r="E42" i="3" a="1"/>
  <c r="E42" i="3" s="1"/>
  <c r="F42" i="3" s="1"/>
  <c r="H42" i="3" s="1"/>
  <c r="H40" i="3"/>
  <c r="K13" i="2"/>
  <c r="F47" i="5"/>
  <c r="G47" i="5"/>
  <c r="K47" i="5" s="1"/>
  <c r="C11" i="4" s="1"/>
  <c r="H47" i="5"/>
  <c r="I47" i="5"/>
  <c r="J47" i="5"/>
  <c r="L47" i="5" s="1"/>
  <c r="H52" i="5"/>
  <c r="I52" i="5"/>
  <c r="J52" i="5"/>
  <c r="L52" i="5" s="1"/>
  <c r="F53" i="5"/>
  <c r="G53" i="5"/>
  <c r="K53" i="5" s="1"/>
  <c r="C17" i="4" s="1"/>
  <c r="H54" i="5"/>
  <c r="I54" i="5"/>
  <c r="J54" i="5"/>
  <c r="L54" i="5" s="1"/>
  <c r="F55" i="5"/>
  <c r="G55" i="5"/>
  <c r="K55" i="5" s="1"/>
  <c r="C19" i="4" s="1"/>
  <c r="J55" i="5"/>
  <c r="H55" i="5"/>
  <c r="I55" i="5"/>
  <c r="F58" i="5"/>
  <c r="G58" i="5"/>
  <c r="K58" i="5" s="1"/>
  <c r="C22" i="4" s="1"/>
  <c r="J58" i="5"/>
  <c r="H58" i="5"/>
  <c r="I58" i="5"/>
  <c r="H59" i="5"/>
  <c r="J59" i="5"/>
  <c r="I59" i="5"/>
  <c r="G60" i="5"/>
  <c r="F60" i="5"/>
  <c r="I60" i="5"/>
  <c r="H60" i="5"/>
  <c r="J60" i="5"/>
  <c r="L60" i="5" s="1"/>
  <c r="F61" i="5"/>
  <c r="G61" i="5"/>
  <c r="K61" i="5" s="1"/>
  <c r="C25" i="4" s="1"/>
  <c r="H61" i="5"/>
  <c r="I61" i="5"/>
  <c r="J61" i="5"/>
  <c r="L61" i="5" s="1"/>
  <c r="F62" i="5"/>
  <c r="G62" i="5"/>
  <c r="K62" i="5" s="1"/>
  <c r="C26" i="4" s="1"/>
  <c r="I62" i="5"/>
  <c r="J62" i="5"/>
  <c r="L62" i="5" s="1"/>
  <c r="H62" i="5"/>
  <c r="G63" i="5"/>
  <c r="F63" i="5"/>
  <c r="J63" i="5"/>
  <c r="I63" i="5"/>
  <c r="H63" i="5"/>
  <c r="G64" i="5"/>
  <c r="F64" i="5"/>
  <c r="H64" i="5"/>
  <c r="I64" i="5"/>
  <c r="J64" i="5"/>
  <c r="L64" i="5" s="1"/>
  <c r="F65" i="5"/>
  <c r="G65" i="5"/>
  <c r="K65" i="5" s="1"/>
  <c r="C29" i="4" s="1"/>
  <c r="I65" i="5"/>
  <c r="H65" i="5"/>
  <c r="J65" i="5"/>
  <c r="L65" i="5" s="1"/>
  <c r="D29" i="4" s="1"/>
  <c r="F66" i="5"/>
  <c r="G66" i="5"/>
  <c r="K66" i="5" s="1"/>
  <c r="C30" i="4" s="1"/>
  <c r="I66" i="5"/>
  <c r="J66" i="5"/>
  <c r="H66" i="5"/>
  <c r="G67" i="5"/>
  <c r="F67" i="5"/>
  <c r="H67" i="5"/>
  <c r="I67" i="5"/>
  <c r="J67" i="5"/>
  <c r="L67" i="5" s="1"/>
  <c r="D31" i="4" s="1"/>
  <c r="G68" i="5"/>
  <c r="F68" i="5"/>
  <c r="J68" i="5"/>
  <c r="I68" i="5"/>
  <c r="H68" i="5"/>
  <c r="F69" i="5"/>
  <c r="G69" i="5"/>
  <c r="J69" i="5"/>
  <c r="I69" i="5"/>
  <c r="H69" i="5"/>
  <c r="G70" i="5"/>
  <c r="K70" i="5" s="1"/>
  <c r="C34" i="4" s="1"/>
  <c r="F70" i="5"/>
  <c r="H70" i="5"/>
  <c r="I70" i="5"/>
  <c r="J70" i="5"/>
  <c r="L70" i="5" s="1"/>
  <c r="G71" i="5"/>
  <c r="F71" i="5"/>
  <c r="H71" i="5"/>
  <c r="I71" i="5"/>
  <c r="J71" i="5"/>
  <c r="L71" i="5" s="1"/>
  <c r="G72" i="5"/>
  <c r="F72" i="5"/>
  <c r="I72" i="5"/>
  <c r="J72" i="5"/>
  <c r="H72" i="5"/>
  <c r="G73" i="5"/>
  <c r="F73" i="5"/>
  <c r="J73" i="5"/>
  <c r="I73" i="5"/>
  <c r="H73" i="5"/>
  <c r="F74" i="5"/>
  <c r="G74" i="5"/>
  <c r="K74" i="5" s="1"/>
  <c r="C38" i="4" s="1"/>
  <c r="H74" i="5"/>
  <c r="I74" i="5"/>
  <c r="J74" i="5"/>
  <c r="L74" i="5" s="1"/>
  <c r="G75" i="5"/>
  <c r="F75" i="5"/>
  <c r="H75" i="5"/>
  <c r="J75" i="5"/>
  <c r="I75" i="5"/>
  <c r="G76" i="5"/>
  <c r="F76" i="5"/>
  <c r="F80" i="5"/>
  <c r="G80" i="5"/>
  <c r="K80" i="5" s="1"/>
  <c r="C44" i="4" s="1"/>
  <c r="J80" i="5"/>
  <c r="I80" i="5"/>
  <c r="H80" i="5"/>
  <c r="G81" i="5"/>
  <c r="F81" i="5"/>
  <c r="H81" i="5"/>
  <c r="I81" i="5"/>
  <c r="J81" i="5"/>
  <c r="L81" i="5" s="1"/>
  <c r="F82" i="5"/>
  <c r="G82" i="5"/>
  <c r="K82" i="5" s="1"/>
  <c r="C46" i="4" s="1"/>
  <c r="H82" i="5"/>
  <c r="J82" i="5"/>
  <c r="I82" i="5"/>
  <c r="G83" i="5"/>
  <c r="F83" i="5"/>
  <c r="H83" i="5"/>
  <c r="I83" i="5"/>
  <c r="J83" i="5"/>
  <c r="L83" i="5" s="1"/>
  <c r="G84" i="5"/>
  <c r="F84" i="5"/>
  <c r="H84" i="5"/>
  <c r="I84" i="5"/>
  <c r="J84" i="5"/>
  <c r="L84" i="5" s="1"/>
  <c r="G85" i="5"/>
  <c r="F85" i="5"/>
  <c r="H85" i="5"/>
  <c r="I85" i="5"/>
  <c r="J85" i="5"/>
  <c r="L85" i="5" s="1"/>
  <c r="F86" i="5"/>
  <c r="G86" i="5"/>
  <c r="K86" i="5" s="1"/>
  <c r="C50" i="4" s="1"/>
  <c r="I86" i="5"/>
  <c r="H86" i="5"/>
  <c r="J86" i="5"/>
  <c r="L86" i="5" s="1"/>
  <c r="G87" i="5"/>
  <c r="F87" i="5"/>
  <c r="J87" i="5"/>
  <c r="I87" i="5"/>
  <c r="H87" i="5"/>
  <c r="G88" i="5"/>
  <c r="F88" i="5"/>
  <c r="H88" i="5"/>
  <c r="I88" i="5"/>
  <c r="J88" i="5"/>
  <c r="L88" i="5" s="1"/>
  <c r="G89" i="5"/>
  <c r="F89" i="5"/>
  <c r="H89" i="5"/>
  <c r="I89" i="5"/>
  <c r="J89" i="5"/>
  <c r="L89" i="5" s="1"/>
  <c r="F90" i="5"/>
  <c r="G90" i="5"/>
  <c r="K90" i="5" s="1"/>
  <c r="C54" i="4" s="1"/>
  <c r="H90" i="5"/>
  <c r="J90" i="5"/>
  <c r="I90" i="5"/>
  <c r="H96" i="5"/>
  <c r="I96" i="5"/>
  <c r="J96" i="5"/>
  <c r="L96" i="5" s="1"/>
  <c r="G97" i="5"/>
  <c r="F97" i="5"/>
  <c r="H97" i="5"/>
  <c r="I97" i="5"/>
  <c r="J97" i="5"/>
  <c r="L97" i="5" s="1"/>
  <c r="G98" i="5"/>
  <c r="F98" i="5"/>
  <c r="H98" i="5"/>
  <c r="I98" i="5"/>
  <c r="J98" i="5"/>
  <c r="L98" i="5" s="1"/>
  <c r="F99" i="5"/>
  <c r="G99" i="5"/>
  <c r="K99" i="5" s="1"/>
  <c r="J99" i="5"/>
  <c r="H99" i="5"/>
  <c r="I99" i="5"/>
  <c r="F100" i="5"/>
  <c r="G100" i="5"/>
  <c r="K100" i="5" s="1"/>
  <c r="C64" i="4" s="1"/>
  <c r="I100" i="5"/>
  <c r="H100" i="5"/>
  <c r="J100" i="5"/>
  <c r="L100" i="5" s="1"/>
  <c r="F101" i="5"/>
  <c r="G101" i="5"/>
  <c r="K101" i="5" s="1"/>
  <c r="J101" i="5"/>
  <c r="L101" i="5" s="1"/>
  <c r="I101" i="5"/>
  <c r="H101" i="5"/>
  <c r="G102" i="5"/>
  <c r="F102" i="5"/>
  <c r="H102" i="5"/>
  <c r="J102" i="5"/>
  <c r="I102" i="5"/>
  <c r="G103" i="5"/>
  <c r="F103" i="5"/>
  <c r="I103" i="5"/>
  <c r="H103" i="5"/>
  <c r="J103" i="5"/>
  <c r="L103" i="5" s="1"/>
  <c r="G104" i="5"/>
  <c r="F104" i="5"/>
  <c r="I104" i="5"/>
  <c r="J104" i="5"/>
  <c r="L104" i="5" s="1"/>
  <c r="H104" i="5"/>
  <c r="G46" i="5"/>
  <c r="F46" i="5"/>
  <c r="H46" i="5"/>
  <c r="I46" i="5"/>
  <c r="J46" i="5"/>
  <c r="L46" i="5" s="1"/>
  <c r="H45" i="5"/>
  <c r="I45" i="5"/>
  <c r="J45" i="5"/>
  <c r="L45" i="5" s="1"/>
  <c r="F45" i="5"/>
  <c r="G45" i="5"/>
  <c r="C9" i="4"/>
  <c r="C12" i="4"/>
  <c r="C57" i="4"/>
  <c r="C41" i="4"/>
  <c r="C16" i="4"/>
  <c r="C56" i="4"/>
  <c r="C20" i="4"/>
  <c r="C65" i="4"/>
  <c r="C63" i="4"/>
  <c r="C58" i="4"/>
  <c r="D61" i="4"/>
  <c r="D55" i="4"/>
  <c r="K71" i="5" l="1"/>
  <c r="C35" i="4" s="1"/>
  <c r="K72" i="5"/>
  <c r="C36" i="4" s="1"/>
  <c r="L72" i="5"/>
  <c r="K73" i="5"/>
  <c r="C37" i="4" s="1"/>
  <c r="L73" i="5"/>
  <c r="K75" i="5"/>
  <c r="C39" i="4" s="1"/>
  <c r="L75" i="5"/>
  <c r="K76" i="5"/>
  <c r="C40" i="4" s="1"/>
  <c r="L80" i="5"/>
  <c r="K81" i="5"/>
  <c r="C45" i="4" s="1"/>
  <c r="L82" i="5"/>
  <c r="K83" i="5"/>
  <c r="C47" i="4" s="1"/>
  <c r="K84" i="5"/>
  <c r="C48" i="4" s="1"/>
  <c r="K85" i="5"/>
  <c r="C49" i="4" s="1"/>
  <c r="K87" i="5"/>
  <c r="C51" i="4" s="1"/>
  <c r="L87" i="5"/>
  <c r="D51" i="4" s="1"/>
  <c r="K88" i="5"/>
  <c r="C52" i="4" s="1"/>
  <c r="K102" i="5"/>
  <c r="C66" i="4" s="1"/>
  <c r="K103" i="5"/>
  <c r="C67" i="4" s="1"/>
  <c r="L58" i="5"/>
  <c r="D22" i="4" s="1"/>
  <c r="K63" i="5"/>
  <c r="C27" i="4" s="1"/>
  <c r="K89" i="5"/>
  <c r="C53" i="4" s="1"/>
  <c r="L90" i="5"/>
  <c r="K97" i="5"/>
  <c r="C61" i="4" s="1"/>
  <c r="K98" i="5"/>
  <c r="C62" i="4" s="1"/>
  <c r="L99" i="5"/>
  <c r="L102" i="5"/>
  <c r="K104" i="5"/>
  <c r="C68" i="4" s="1"/>
  <c r="L66" i="5"/>
  <c r="L69" i="5"/>
  <c r="L55" i="5"/>
  <c r="L59" i="5"/>
  <c r="K60" i="5"/>
  <c r="C24" i="4" s="1"/>
  <c r="L63" i="5"/>
  <c r="K64" i="5"/>
  <c r="C28" i="4" s="1"/>
  <c r="K67" i="5"/>
  <c r="C31" i="4" s="1"/>
  <c r="K68" i="5"/>
  <c r="C32" i="4" s="1"/>
  <c r="L68" i="5"/>
  <c r="K69" i="5"/>
  <c r="C33" i="4" s="1"/>
  <c r="K46" i="5"/>
  <c r="C10" i="4" s="1"/>
  <c r="D12" i="4"/>
  <c r="D48" i="4"/>
  <c r="D25" i="4"/>
  <c r="D49" i="4"/>
  <c r="D17" i="4"/>
  <c r="D45" i="4"/>
  <c r="D18" i="4"/>
  <c r="D57" i="4"/>
  <c r="D40" i="4"/>
  <c r="D24" i="4"/>
  <c r="D39" i="4"/>
  <c r="D60" i="4"/>
  <c r="D58" i="4"/>
  <c r="D32" i="4"/>
  <c r="D43" i="4"/>
  <c r="D13" i="4"/>
  <c r="D64" i="4"/>
  <c r="D50" i="4"/>
  <c r="D52" i="4"/>
  <c r="D68" i="4"/>
  <c r="D9" i="4"/>
  <c r="D53" i="4"/>
  <c r="D47" i="4"/>
  <c r="D67" i="4"/>
  <c r="D59" i="4"/>
  <c r="D11" i="4"/>
  <c r="D14" i="4"/>
  <c r="D15" i="4"/>
  <c r="D36" i="4"/>
  <c r="D26" i="4"/>
  <c r="D30" i="4"/>
  <c r="D37" i="4"/>
  <c r="D35" i="4"/>
  <c r="D10" i="4"/>
  <c r="D66" i="4"/>
  <c r="D27" i="4"/>
  <c r="D34" i="4"/>
  <c r="D33" i="4"/>
  <c r="D38" i="4"/>
  <c r="D42" i="4"/>
  <c r="D28" i="4"/>
  <c r="D21" i="4"/>
  <c r="D20" i="4"/>
  <c r="D19" i="4"/>
  <c r="D65" i="4"/>
  <c r="D41" i="4"/>
  <c r="D46" i="4"/>
  <c r="D54" i="4"/>
  <c r="D23" i="4"/>
  <c r="D44" i="4"/>
  <c r="D56" i="4"/>
  <c r="D16" i="4"/>
  <c r="D62" i="4"/>
  <c r="D6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<sst xmlns="http://schemas.openxmlformats.org/spreadsheetml/2006/main" count="304" uniqueCount="152">
  <si>
    <t>Prognozowanie ekonometryczne • laboratorium 2</t>
  </si>
  <si>
    <t>WERSJA DLA STUDENTÓW — uzupełnij żółte pola i zapisz własne wnioski.</t>
  </si>
  <si>
    <t>Wykladniczy i Potegowy: estymacja 01.2024–12.2025, prognozy na 01–03.2026 sporządzone 31.12.2025. Dla modelu potęgowego plan produkcji jest znany z góry.</t>
  </si>
  <si>
    <t>Najpierw prognozujemy logarytm Y. Potem obliczamy medianę exp(μ*), przybliżoną średnią exp(μ* + v/2) oraz granice przedziału przez potęgowanie granic w logach.</t>
  </si>
  <si>
    <t>Wariancja v = [m*(log)]². Korekta średniej jest normalnym przybliżeniem pełnego rozkładu prognostycznego. Przedział w logach wykorzystuje kwantyl t, a nie automatycznie 1,96.</t>
  </si>
  <si>
    <t>Przy modelu potęgowym błędy i odległości obliczamy dla ln(X), nie dla X. Parametr β jest elastycznością bez znaku %. Wzrost X o 1% daje około β% zmiany części systematycznej Y.</t>
  </si>
  <si>
    <t>CW: syntetyczna sprzedaż tygodniowa sklepu internetowego i budżet reklamy ustalony przed tygodniem. M0 jest liniowy, M1 zawiera dodatkowo kwadrat budżetu.</t>
  </si>
  <si>
    <t>Pierwsze 36 tygodni służy do estymacji. Kolejnych 60 prognoz powstaje na jeden tydzień naprzód. Przed każdym tygodniem modele są ponownie szacowane wyłącznie na wcześniejszych obserwacjach.</t>
  </si>
  <si>
    <t>W CW dostajesz gotowe prognozy M0 i M1. Uzupełnij błędy, kwadraty, korektę i d. Historia i wzory estymacji są w arkuszu Modele_CW, który można przejrzeć po wykonaniu zadania.</t>
  </si>
  <si>
    <t>Podstawowa wersja: SE(d̄) = s_d/√P, CW = d̄/SE(d̄), p ≈ 1−Φ(CW). s_d to odchylenie standardowe wartości d, nie ich średnich. Nie stosujemy HAC.</t>
  </si>
  <si>
    <t>Przyjmujemy brak istotnej zależności czasowej d. Sam horyzont h=1 tego nie gwarantuje. Wynik jest dydaktycznym przybliżeniem, a nie uniwersalną procedurą dla dowolnego szeregu.</t>
  </si>
  <si>
    <t>Wszystkie dane są syntetyczne. Żółty: pola do obliczeń. Niebieski: dane. Arkusz Realizacje otwórz dopiero po zapisaniu prognoz miesięcznych.</t>
  </si>
  <si>
    <t>Nie stosuj CW do porównania modelu liniowego Y i regresji ln(Y) tylko dlatego, że oba prognozują tę samą wielkość. W zadaniu CW modele są zagnieżdżone i oba estymują Y.</t>
  </si>
  <si>
    <t>Przydatne funkcje: SUMA, ŚREDNIA, SUMA.ILOCZYNÓW, PIERWIASTEK, LN, EXP, NACHYLENIE, ODCIĘTA. Formuły w pliku Excel wyświetla w języku instalacji.</t>
  </si>
  <si>
    <t>1. Abonenci usługi B2B: trend wykładniczy</t>
  </si>
  <si>
    <t>Model: Y_t = exp(α + β·t + u_t). Y: liczba aktywnych abonentów na koniec miesiąca.</t>
  </si>
  <si>
    <t>Dane syntetyczne. Estymacja: 24 miesiące 01.2024–12.2025. Moment prognozy: 31.12.2025. Nie używaj realizacji z 2026 r.</t>
  </si>
  <si>
    <t>1. Przyjmij t=1 dla 01.2024. Oszacuj parametry, oblicz dopasowanie, reszty, SSE, s i R².</t>
  </si>
  <si>
    <t>2. Oblicz μ*, m*(log), medianę i średnią Y. Przyjmij v=[m*(log)]². Wyznacz przedział w logach i potęguj obie granice.</t>
  </si>
  <si>
    <t>3. Po zapisaniu prognoz użyj arkusza Realizacje. Oblicz błędy ex post i sprawdź, czy realizacje należą do przedziałów.</t>
  </si>
  <si>
    <t>Wzór: m*(log)=s·√[1+1/n+(z*−średnia z)²/Szz]. Dla trendu z=t, dla modelu potęgowego z=ln(X).</t>
  </si>
  <si>
    <t>Miesiąc</t>
  </si>
  <si>
    <t>t</t>
  </si>
  <si>
    <t>Y (osoby)</t>
  </si>
  <si>
    <t>Reszta</t>
  </si>
  <si>
    <t>Reszta²</t>
  </si>
  <si>
    <t>n</t>
  </si>
  <si>
    <t>Liczba obserwacji estymacyjnych</t>
  </si>
  <si>
    <t>p</t>
  </si>
  <si>
    <t>Stała i jeden regresor</t>
  </si>
  <si>
    <t>b0</t>
  </si>
  <si>
    <t>Wyraz wolny modelu pomocniczego</t>
  </si>
  <si>
    <t>b1</t>
  </si>
  <si>
    <t>Współczynnik przy z</t>
  </si>
  <si>
    <t>SSE</t>
  </si>
  <si>
    <t>Suma kwadratów reszt</t>
  </si>
  <si>
    <t>s</t>
  </si>
  <si>
    <t>Odchylenie standardowe reszt</t>
  </si>
  <si>
    <t>średnia z</t>
  </si>
  <si>
    <t>Średnia regresora w estymacji</t>
  </si>
  <si>
    <t>Szz</t>
  </si>
  <si>
    <t>Suma (z−średnia z)²</t>
  </si>
  <si>
    <t>kwantyl t</t>
  </si>
  <si>
    <t>Dwustronny przedział 95%</t>
  </si>
  <si>
    <t>R²</t>
  </si>
  <si>
    <t>Dopasowanie w skali modelu</t>
  </si>
  <si>
    <t>α</t>
  </si>
  <si>
    <t>Poziom istotności</t>
  </si>
  <si>
    <t>Tempo miesięczne</t>
  </si>
  <si>
    <t>Tempo przybliżone</t>
  </si>
  <si>
    <t>t*</t>
  </si>
  <si>
    <t>z*</t>
  </si>
  <si>
    <t>μ*</t>
  </si>
  <si>
    <t>m*(log)</t>
  </si>
  <si>
    <t>v</t>
  </si>
  <si>
    <t>Mediana Y</t>
  </si>
  <si>
    <t>Średnia Y</t>
  </si>
  <si>
    <t>Dolna 95%</t>
  </si>
  <si>
    <t>Górna 95%</t>
  </si>
  <si>
    <t>Realizacja</t>
  </si>
  <si>
    <t>Błąd średniej</t>
  </si>
  <si>
    <t>Wnioski: interpretacja parametru, szerokość przedziałów oraz różnica między błędem ex ante i ex post.</t>
  </si>
  <si>
    <t>Miejsce na odpowiedź:</t>
  </si>
  <si>
    <t>Wstaw wykres danych i dopasowania. Dla modelu potęgowego użyj wykresu punktowego ln(Y) względem ln(X).</t>
  </si>
  <si>
    <t>Wskazówka: nie stosuj exp(μ*) ± t·m*(log). Potęguj osobno dolną i górną granicę w logach. m*(log) nie jest błędem w jednostkach Y.</t>
  </si>
  <si>
    <t>2. Energia w zakładzie opakowań: model potęgowy</t>
  </si>
  <si>
    <t>Model: Y_t = A·X_t^β·exp(u_t). Y: energia (MWh), X: produkcja (tys. sztuk).</t>
  </si>
  <si>
    <t>1. Oblicz ln(X) i ln(Y), oszacuj model pomocniczy. Podaj elastyczność i ocenę A = exp(b0).</t>
  </si>
  <si>
    <t>X (tys. szt.)</t>
  </si>
  <si>
    <t>Y (MWh)</t>
  </si>
  <si>
    <t>A = exp(b0)</t>
  </si>
  <si>
    <t>Zmiana Y przy X +1%</t>
  </si>
  <si>
    <t>Plan X</t>
  </si>
  <si>
    <t>3. Parabola i test Clarka–Westa</t>
  </si>
  <si>
    <t>Porównaj M0: Y=β0+β1X+ε oraz M1: Y=β0+β1X+β2X²+ε. M0 otrzymujemy dla β2=0. Prognozy są gotowe.</t>
  </si>
  <si>
    <t>1. Wyjaśnij zagnieżdżenie. Na ostatnich współczynnikach M1 oblicz efekt krańcowy przy X=20 i punkt zwrotny.</t>
  </si>
  <si>
    <t>2. Wypełnij E:J. e0=y−y*0, e1=y−y*1, korekta=(y*0−y*1)², d=e0²−e1²+korekta.</t>
  </si>
  <si>
    <t>3. Oblicz MSE0, MSE1, d̄, s_d, SE(d̄)=s_d/√P, CW i jednostronne p. Poziom istotności 5%, test prawostronny.</t>
  </si>
  <si>
    <t>H0: dodatkowy składnik kwadratowy nie wnosi informacji prognostycznej. H1: rozszerzenie wnosi informację.</t>
  </si>
  <si>
    <t>Wersja bez HAC zakłada brak istotnej autokorelacji d. Nie utożsamiaj istotności CW z gwarancją przewagi w każdym przyszłym tygodniu.</t>
  </si>
  <si>
    <t>Tydzień od</t>
  </si>
  <si>
    <t>Y realizacja</t>
  </si>
  <si>
    <t>y* M0</t>
  </si>
  <si>
    <t>y* M1</t>
  </si>
  <si>
    <t>e0</t>
  </si>
  <si>
    <t>e1</t>
  </si>
  <si>
    <t>e0²</t>
  </si>
  <si>
    <t>e1²</t>
  </si>
  <si>
    <t>Korekta</t>
  </si>
  <si>
    <t>d</t>
  </si>
  <si>
    <t>P</t>
  </si>
  <si>
    <t>MSE0</t>
  </si>
  <si>
    <t>MSE1</t>
  </si>
  <si>
    <t>d̄</t>
  </si>
  <si>
    <t>s_d</t>
  </si>
  <si>
    <t>SE(d̄)</t>
  </si>
  <si>
    <t>CW</t>
  </si>
  <si>
    <t>p jednostronne</t>
  </si>
  <si>
    <t>wartość krytyczna</t>
  </si>
  <si>
    <t>Decyzja</t>
  </si>
  <si>
    <t>Poprawa MSE</t>
  </si>
  <si>
    <t>r(d_t,d_t−1)</t>
  </si>
  <si>
    <t>X do interpretacji</t>
  </si>
  <si>
    <t>Efekt krańcowy</t>
  </si>
  <si>
    <t>Punkt zwrotny X</t>
  </si>
  <si>
    <t>Wniosek: oddziel wielkość poprawy MSE od istotności statystycznej. Czy niski p potwierdza samą poprawność postaci modelu?</t>
  </si>
  <si>
    <t>Sprawdź pomocniczo korelację d_t z d_(t−1). Czy sama wartość bliska zeru dowodzi niezależności?</t>
  </si>
  <si>
    <t>Polski Excel: s_d = ODCH.STANDARDOWE.S(zakres d), SE = s_d/PIERWIASTEK(P), p = 1−ROZKŁ.NORMALNY.S(CW;PRAWDA).</t>
  </si>
  <si>
    <t>Historia i odtwarzalne prognozy CW</t>
  </si>
  <si>
    <t>Dane syntetyczne. M0: Y=β0+β1X+ε. M1: Y=β0+β1X+β2X²+ε. Y: sprzedaż tys. zł, X: reklama tys. zł.</t>
  </si>
  <si>
    <t>Budżet X jest znany przed początkiem tygodnia. Sprzedaż Y poznajemy dopiero po jego zakończeniu. Daty oznaczają poniedziałek.</t>
  </si>
  <si>
    <t>Gotowy materiał wejściowy. Pierwsze 36 tygodni: próba początkowa. Następne 60: prognozy h=1, estymacja na rozszerzanej próbie.</t>
  </si>
  <si>
    <t>Każdy wiersz prognozy wykorzystuje Y tylko do poprzedniego wiersza. Zmiana realizacji bieżącego tygodnia nie może zmienić jego prognozy.</t>
  </si>
  <si>
    <t>Formuły pomocnicze: S11=Σ(X−średnia X)², S22=Σ(X²−średnia X²)², S12=Σ(X−średnia X)(X²−średnia X²).</t>
  </si>
  <si>
    <t>M1: b1=(S1y·S22−S2y·S12)/D, b2=(S2y·S11−S1y·S12)/D, D=S11·S22−S12². b0=średnia Y−b1·średnia X−b2·średnia X².</t>
  </si>
  <si>
    <t>X reklama</t>
  </si>
  <si>
    <t>Y sprzedaż</t>
  </si>
  <si>
    <t>X²</t>
  </si>
  <si>
    <t>n estymacji</t>
  </si>
  <si>
    <t>b0 M0</t>
  </si>
  <si>
    <t>b1 M0</t>
  </si>
  <si>
    <t>b0 M1</t>
  </si>
  <si>
    <t>b1 M1</t>
  </si>
  <si>
    <t>b2 M1</t>
  </si>
  <si>
    <t>Etap</t>
  </si>
  <si>
    <t>estymacja</t>
  </si>
  <si>
    <t>ocena</t>
  </si>
  <si>
    <t>Realizacje poznane po okresie prognozy</t>
  </si>
  <si>
    <t>Otwórz dopiero po obliczeniu i zapisaniu prognoz. Te wartości nie mogą wejść do estymacji modeli miesięcznych.</t>
  </si>
  <si>
    <t>Abonenci (osoby)</t>
  </si>
  <si>
    <t>Energia (MWh)</t>
  </si>
  <si>
    <t>Dane syntetyczne. Wyniki są dostępne wyłącznie do oceny ex post, po zakończeniu odpowiedniego miesiąca.</t>
  </si>
  <si>
    <t>W dopasowane</t>
  </si>
  <si>
    <t>W modelu</t>
  </si>
  <si>
    <t>Z modelu</t>
  </si>
  <si>
    <t>(X′X)⁻¹</t>
  </si>
  <si>
    <t>X′Y</t>
  </si>
  <si>
    <t>X′X (1,Z)</t>
  </si>
  <si>
    <t>na piesoz liczymy bo się nie chcialo 1 dodac ale można normalnie macierzami</t>
  </si>
  <si>
    <t>w*-wartość oczekiwana modelu liniowego</t>
  </si>
  <si>
    <t>Z*</t>
  </si>
  <si>
    <t>MACIERZ POMOCNICZA DO m*</t>
  </si>
  <si>
    <t>prognozy punktowe</t>
  </si>
  <si>
    <t>szerokość przedziału</t>
  </si>
  <si>
    <t>szerokości przedziału rosną</t>
  </si>
  <si>
    <t>prognoza punktowa jako mediana</t>
  </si>
  <si>
    <t>troche dokładniejsza niż mediana Y bo do prognozy dodajemy jeszcze wpływ błędu z prognozowania średniej wartości</t>
  </si>
  <si>
    <t>to takie łyse bez wchodzenia w szczegóły</t>
  </si>
  <si>
    <t>łyse oszacowanie Y, takie jakby prognozy</t>
  </si>
  <si>
    <t>oszcowanie Y z uwzględnieniem tego że mogliśmy isę pomylić jakby bo błąd</t>
  </si>
  <si>
    <t>prognoza z modelu liniowego</t>
  </si>
  <si>
    <t>prognoza z modelu kwadratowego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</si>
</sst>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"/>
    <numFmt numFmtId="165" formatCode="0.0000"/>
    <numFmt numFmtId="166" formatCode="0.0%"/>
    <numFmt numFmtId="167" formatCode="0.00000"/>
    <numFmt numFmtId="168" formatCode="0.000000"/>
    <numFmt numFmtId="169" formatCode="0.0"/>
    <numFmt numFmtId="170" formatCode="yyyy\-mm\-dd"/>
  </numFmts>
  <fonts count="7">
    <font>
      <sz val="11"/>
      <name val="Carlito"/>
    </font>
    <font>
      <sz val="11"/>
      <color rgb="FF24352D"/>
      <name val="Arial"/>
      <family val="2"/>
      <charset val="238"/>
    </font>
    <font>
      <b/>
      <sz val="16"/>
      <color rgb="FF245A3B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0"/>
      <color rgb="FF24352D"/>
      <name val="Arial"/>
      <family val="2"/>
      <charset val="238"/>
    </font>
    <font>
      <sz val="11"/>
      <name val="Carlito"/>
    </font>
    <font>
      <sz val="11"/>
      <color rgb="FF24352D"/>
      <name val="Arial"/>
    </font>
  </fonts>
  <fills count="8">
    <fill>
      <patternFill patternType="none"/>
    </fill>
    <fill>
      <patternFill patternType="gray125"/>
    </fill>
    <fill>
      <patternFill patternType="solid">
        <fgColor rgb="FF245A3B"/>
      </patternFill>
    </fill>
    <fill>
      <patternFill patternType="solid">
        <fgColor rgb="FFFFF2CC"/>
      </patternFill>
    </fill>
    <fill>
      <patternFill patternType="solid">
        <fgColor rgb="FFEAF1F8"/>
      </patternFill>
    </fill>
    <fill>
      <patternFill patternType="solid">
        <fgColor rgb="FFF1F5F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2" fontId="1" fillId="0" borderId="0" xfId="1" applyNumberFormat="1" applyFont="1" applyAlignment="1">
      <alignment vertical="center"/>
    </xf>
    <xf numFmtId="2" fontId="3" fillId="2" borderId="0" xfId="1" applyNumberFormat="1" applyFont="1" applyFill="1" applyAlignment="1">
      <alignment vertical="center" wrapText="1"/>
    </xf>
    <xf numFmtId="2" fontId="1" fillId="3" borderId="0" xfId="1" applyNumberFormat="1" applyFont="1" applyFill="1" applyAlignment="1">
      <alignment vertical="center"/>
    </xf>
    <xf numFmtId="164" fontId="1" fillId="0" borderId="0" xfId="1" applyNumberFormat="1" applyFont="1" applyAlignment="1">
      <alignment vertical="center"/>
    </xf>
    <xf numFmtId="164" fontId="1" fillId="4" borderId="0" xfId="1" applyNumberFormat="1" applyFont="1" applyFill="1" applyAlignment="1">
      <alignment vertical="center"/>
    </xf>
    <xf numFmtId="2" fontId="1" fillId="4" borderId="0" xfId="1" applyNumberFormat="1" applyFont="1" applyFill="1" applyAlignment="1">
      <alignment vertical="center"/>
    </xf>
    <xf numFmtId="2" fontId="4" fillId="0" borderId="0" xfId="1" applyNumberFormat="1" applyFont="1" applyAlignment="1">
      <alignment vertical="center" wrapText="1"/>
    </xf>
    <xf numFmtId="165" fontId="1" fillId="3" borderId="0" xfId="1" applyNumberFormat="1" applyFont="1" applyFill="1" applyAlignment="1">
      <alignment vertical="center"/>
    </xf>
    <xf numFmtId="166" fontId="1" fillId="4" borderId="0" xfId="1" applyNumberFormat="1" applyFont="1" applyFill="1" applyAlignment="1">
      <alignment vertical="center"/>
    </xf>
    <xf numFmtId="1" fontId="1" fillId="3" borderId="0" xfId="1" applyNumberFormat="1" applyFont="1" applyFill="1" applyAlignment="1">
      <alignment vertical="center"/>
    </xf>
    <xf numFmtId="1" fontId="1" fillId="4" borderId="0" xfId="1" applyNumberFormat="1" applyFont="1" applyFill="1" applyAlignment="1">
      <alignment vertical="center"/>
    </xf>
    <xf numFmtId="167" fontId="1" fillId="3" borderId="0" xfId="1" applyNumberFormat="1" applyFont="1" applyFill="1" applyAlignment="1">
      <alignment vertical="center"/>
    </xf>
    <xf numFmtId="10" fontId="1" fillId="3" borderId="0" xfId="1" applyNumberFormat="1" applyFont="1" applyFill="1" applyAlignment="1">
      <alignment vertical="center"/>
    </xf>
    <xf numFmtId="168" fontId="1" fillId="3" borderId="0" xfId="1" applyNumberFormat="1" applyFont="1" applyFill="1" applyAlignment="1">
      <alignment vertical="center"/>
    </xf>
    <xf numFmtId="169" fontId="1" fillId="4" borderId="0" xfId="1" applyNumberFormat="1" applyFont="1" applyFill="1" applyAlignment="1">
      <alignment vertical="center"/>
    </xf>
    <xf numFmtId="170" fontId="1" fillId="4" borderId="0" xfId="1" applyNumberFormat="1" applyFont="1" applyFill="1" applyAlignment="1">
      <alignment vertical="center"/>
    </xf>
    <xf numFmtId="11" fontId="1" fillId="3" borderId="0" xfId="1" applyNumberFormat="1" applyFont="1" applyFill="1" applyAlignment="1">
      <alignment vertical="center"/>
    </xf>
    <xf numFmtId="166" fontId="1" fillId="0" borderId="0" xfId="1" applyNumberFormat="1" applyFont="1" applyAlignment="1">
      <alignment vertical="center"/>
    </xf>
    <xf numFmtId="166" fontId="1" fillId="3" borderId="0" xfId="1" applyNumberFormat="1" applyFont="1" applyFill="1" applyAlignment="1">
      <alignment vertical="center"/>
    </xf>
    <xf numFmtId="2" fontId="1" fillId="5" borderId="0" xfId="1" applyNumberFormat="1" applyFont="1" applyFill="1" applyAlignment="1">
      <alignment vertical="center"/>
    </xf>
    <xf numFmtId="165" fontId="1" fillId="5" borderId="0" xfId="1" applyNumberFormat="1" applyFont="1" applyFill="1" applyAlignment="1">
      <alignment vertical="center"/>
    </xf>
    <xf numFmtId="164" fontId="1" fillId="0" borderId="0" xfId="1" applyNumberFormat="1" applyFont="1" applyFill="1" applyAlignment="1">
      <alignment vertical="center"/>
    </xf>
    <xf numFmtId="1" fontId="1" fillId="0" borderId="0" xfId="1" applyNumberFormat="1" applyFont="1" applyFill="1" applyAlignment="1">
      <alignment vertical="center"/>
    </xf>
    <xf numFmtId="2" fontId="1" fillId="0" borderId="0" xfId="1" applyNumberFormat="1" applyFont="1" applyFill="1" applyAlignment="1">
      <alignment vertical="center"/>
    </xf>
    <xf numFmtId="167" fontId="1" fillId="0" borderId="0" xfId="1" applyNumberFormat="1" applyFont="1" applyFill="1" applyAlignment="1">
      <alignment vertical="center"/>
    </xf>
    <xf numFmtId="0" fontId="0" fillId="0" borderId="0" xfId="0" applyFill="1"/>
    <xf numFmtId="2" fontId="6" fillId="0" borderId="0" xfId="1" applyNumberFormat="1" applyFont="1" applyAlignment="1">
      <alignment vertical="center"/>
    </xf>
    <xf numFmtId="2" fontId="6" fillId="3" borderId="0" xfId="1" applyNumberFormat="1" applyFont="1" applyFill="1" applyAlignment="1">
      <alignment vertical="center"/>
    </xf>
    <xf numFmtId="168" fontId="6" fillId="3" borderId="0" xfId="1" applyNumberFormat="1" applyFont="1" applyFill="1" applyAlignment="1">
      <alignment vertical="center"/>
    </xf>
    <xf numFmtId="2" fontId="6" fillId="0" borderId="0" xfId="1" applyNumberFormat="1" applyFont="1" applyFill="1" applyAlignment="1">
      <alignment vertical="center"/>
    </xf>
    <xf numFmtId="168" fontId="6" fillId="0" borderId="0" xfId="1" applyNumberFormat="1" applyFont="1" applyFill="1" applyAlignment="1">
      <alignment vertical="center"/>
    </xf>
    <xf numFmtId="2" fontId="2" fillId="0" borderId="0" xfId="1" applyNumberFormat="1" applyFont="1" applyAlignment="1">
      <alignment vertical="center" wrapText="1"/>
    </xf>
    <xf numFmtId="2" fontId="1" fillId="0" borderId="0" xfId="1" applyNumberFormat="1" applyFont="1" applyAlignment="1">
      <alignment vertical="center" wrapText="1"/>
    </xf>
    <xf numFmtId="2" fontId="1" fillId="3" borderId="0" xfId="1" applyNumberFormat="1" applyFont="1" applyFill="1" applyAlignment="1">
      <alignment vertical="center" wrapText="1"/>
    </xf>
    <xf numFmtId="0" fontId="0" fillId="6" borderId="0" xfId="0" applyFill="1"/>
    <xf numFmtId="2" fontId="6" fillId="6" borderId="0" xfId="1" applyNumberFormat="1" applyFont="1" applyFill="1" applyAlignment="1">
      <alignment vertical="center"/>
    </xf>
    <xf numFmtId="166" fontId="0" fillId="0" borderId="0" xfId="2" applyNumberFormat="1" applyFont="1"/>
    <xf numFmtId="2" fontId="3" fillId="6" borderId="0" xfId="1" applyNumberFormat="1" applyFont="1" applyFill="1" applyAlignment="1">
      <alignment vertical="center" wrapText="1"/>
    </xf>
    <xf numFmtId="2" fontId="3" fillId="7" borderId="0" xfId="1" applyNumberFormat="1" applyFont="1" applyFill="1" applyAlignment="1">
      <alignment vertical="center" wrapText="1"/>
    </xf>
  </cellXfs>
  <cellStyles count="3">
    <cellStyle name="Normal" xfId="1" xr:uid="{00000000-0005-0000-0000-000000000000}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5A3B"/>
  </sheetPr>
  <dimension ref="A1:H30"/>
  <sheetViews>
    <sheetView showGridLines="0" workbookViewId="0">
      <selection activeCell="A3" sqref="A3:XFD3"/>
    </sheetView>
  </sheetViews>
  <sheetFormatPr defaultRowHeight="14.25"/>
  <cols>
    <col min="1" max="8" width="17" customWidth="1"/>
  </cols>
  <sheetData>
    <row r="1" spans="1:8" ht="30" customHeight="1">
      <c r="A1" s="32" t="s">
        <v>0</v>
      </c>
      <c r="B1" s="32"/>
      <c r="C1" s="32"/>
      <c r="D1" s="32"/>
      <c r="E1" s="32"/>
      <c r="F1" s="32"/>
      <c r="G1" s="32"/>
      <c r="H1" s="32"/>
    </row>
    <row r="2" spans="1:8" ht="30" customHeight="1">
      <c r="A2" s="33" t="s">
        <v>1</v>
      </c>
      <c r="B2" s="33"/>
      <c r="C2" s="33"/>
      <c r="D2" s="33"/>
      <c r="E2" s="33"/>
      <c r="F2" s="33"/>
      <c r="G2" s="33"/>
      <c r="H2" s="33"/>
    </row>
    <row r="3" spans="1:8" ht="39.950000000000003" customHeight="1">
      <c r="A3" s="33" t="s">
        <v>2</v>
      </c>
      <c r="B3" s="33"/>
      <c r="C3" s="33"/>
      <c r="D3" s="33"/>
      <c r="E3" s="33"/>
      <c r="F3" s="33"/>
      <c r="G3" s="33"/>
      <c r="H3" s="33"/>
    </row>
    <row r="4" spans="1:8" ht="39.950000000000003" customHeight="1">
      <c r="A4" s="33" t="s">
        <v>3</v>
      </c>
      <c r="B4" s="33"/>
      <c r="C4" s="33"/>
      <c r="D4" s="33"/>
      <c r="E4" s="33"/>
      <c r="F4" s="33"/>
      <c r="G4" s="33"/>
      <c r="H4" s="33"/>
    </row>
    <row r="5" spans="1:8" ht="39.950000000000003" customHeight="1">
      <c r="A5" s="33" t="s">
        <v>4</v>
      </c>
      <c r="B5" s="33"/>
      <c r="C5" s="33"/>
      <c r="D5" s="33"/>
      <c r="E5" s="33"/>
      <c r="F5" s="33"/>
      <c r="G5" s="33"/>
      <c r="H5" s="33"/>
    </row>
    <row r="6" spans="1:8" ht="39.950000000000003" customHeight="1">
      <c r="A6" s="33" t="s">
        <v>5</v>
      </c>
      <c r="B6" s="33"/>
      <c r="C6" s="33"/>
      <c r="D6" s="33"/>
      <c r="E6" s="33"/>
      <c r="F6" s="33"/>
      <c r="G6" s="33"/>
      <c r="H6" s="33"/>
    </row>
    <row r="7" spans="1:8" ht="39.950000000000003" customHeight="1">
      <c r="A7" s="33" t="s">
        <v>6</v>
      </c>
      <c r="B7" s="33"/>
      <c r="C7" s="33"/>
      <c r="D7" s="33"/>
      <c r="E7" s="33"/>
      <c r="F7" s="33"/>
      <c r="G7" s="33"/>
      <c r="H7" s="33"/>
    </row>
    <row r="8" spans="1:8" ht="39.950000000000003" customHeight="1">
      <c r="A8" s="33" t="s">
        <v>7</v>
      </c>
      <c r="B8" s="33"/>
      <c r="C8" s="33"/>
      <c r="D8" s="33"/>
      <c r="E8" s="33"/>
      <c r="F8" s="33"/>
      <c r="G8" s="33"/>
      <c r="H8" s="33"/>
    </row>
    <row r="9" spans="1:8" ht="39.950000000000003" customHeight="1">
      <c r="A9" s="33" t="s">
        <v>8</v>
      </c>
      <c r="B9" s="33"/>
      <c r="C9" s="33"/>
      <c r="D9" s="33"/>
      <c r="E9" s="33"/>
      <c r="F9" s="33"/>
      <c r="G9" s="33"/>
      <c r="H9" s="33"/>
    </row>
    <row r="10" spans="1:8" ht="39.950000000000003" customHeight="1">
      <c r="A10" s="33" t="s">
        <v>9</v>
      </c>
      <c r="B10" s="33"/>
      <c r="C10" s="33"/>
      <c r="D10" s="33"/>
      <c r="E10" s="33"/>
      <c r="F10" s="33"/>
      <c r="G10" s="33"/>
      <c r="H10" s="33"/>
    </row>
    <row r="11" spans="1:8" ht="39.950000000000003" customHeight="1">
      <c r="A11" s="33" t="s">
        <v>10</v>
      </c>
      <c r="B11" s="33"/>
      <c r="C11" s="33"/>
      <c r="D11" s="33"/>
      <c r="E11" s="33"/>
      <c r="F11" s="33"/>
      <c r="G11" s="33"/>
      <c r="H11" s="33"/>
    </row>
    <row r="12" spans="1:8" ht="39.950000000000003" customHeight="1">
      <c r="A12" s="33" t="s">
        <v>11</v>
      </c>
      <c r="B12" s="33"/>
      <c r="C12" s="33"/>
      <c r="D12" s="33"/>
      <c r="E12" s="33"/>
      <c r="F12" s="33"/>
      <c r="G12" s="33"/>
      <c r="H12" s="33"/>
    </row>
    <row r="13" spans="1:8" ht="39.950000000000003" customHeight="1">
      <c r="A13" s="33" t="s">
        <v>12</v>
      </c>
      <c r="B13" s="33"/>
      <c r="C13" s="33"/>
      <c r="D13" s="33"/>
      <c r="E13" s="33"/>
      <c r="F13" s="33"/>
      <c r="G13" s="33"/>
      <c r="H13" s="33"/>
    </row>
    <row r="14" spans="1:8" ht="23.1" customHeight="1">
      <c r="A14" s="1"/>
      <c r="B14" s="1"/>
      <c r="C14" s="1"/>
      <c r="D14" s="1"/>
      <c r="E14" s="1"/>
      <c r="F14" s="1"/>
      <c r="G14" s="1"/>
      <c r="H14" s="1"/>
    </row>
    <row r="15" spans="1:8" ht="23.1" customHeight="1">
      <c r="A15" s="1"/>
      <c r="B15" s="1"/>
      <c r="C15" s="1"/>
      <c r="D15" s="1"/>
      <c r="E15" s="1"/>
      <c r="F15" s="1"/>
      <c r="G15" s="1"/>
      <c r="H15" s="1"/>
    </row>
    <row r="16" spans="1:8" ht="23.1" customHeight="1">
      <c r="A16" s="1"/>
      <c r="B16" s="1"/>
      <c r="C16" s="1"/>
      <c r="D16" s="1"/>
      <c r="E16" s="1"/>
      <c r="F16" s="1"/>
      <c r="G16" s="1"/>
      <c r="H16" s="1"/>
    </row>
    <row r="17" spans="1:8" ht="38.1" customHeight="1">
      <c r="A17" s="33" t="s">
        <v>13</v>
      </c>
      <c r="B17" s="33"/>
      <c r="C17" s="33"/>
      <c r="D17" s="33"/>
      <c r="E17" s="33"/>
      <c r="F17" s="33"/>
      <c r="G17" s="33"/>
      <c r="H17" s="33"/>
    </row>
    <row r="18" spans="1:8" ht="23.1" customHeight="1">
      <c r="A18" s="1"/>
      <c r="B18" s="1"/>
      <c r="C18" s="1"/>
      <c r="D18" s="1"/>
      <c r="E18" s="1"/>
      <c r="F18" s="1"/>
      <c r="G18" s="1"/>
      <c r="H18" s="1"/>
    </row>
    <row r="19" spans="1:8" ht="38.1" customHeight="1">
      <c r="A19" s="33"/>
      <c r="B19" s="33"/>
      <c r="C19" s="33"/>
      <c r="D19" s="33"/>
      <c r="E19" s="33"/>
      <c r="F19" s="33"/>
      <c r="G19" s="33"/>
      <c r="H19" s="33"/>
    </row>
    <row r="20" spans="1:8" ht="23.1" customHeight="1">
      <c r="A20" s="1"/>
      <c r="B20" s="1"/>
      <c r="C20" s="1"/>
      <c r="D20" s="1"/>
      <c r="E20" s="1"/>
      <c r="F20" s="1"/>
      <c r="G20" s="1"/>
      <c r="H20" s="1"/>
    </row>
    <row r="21" spans="1:8" ht="45" customHeight="1">
      <c r="A21" s="33"/>
      <c r="B21" s="33"/>
      <c r="C21" s="33"/>
      <c r="D21" s="33"/>
      <c r="E21" s="33"/>
      <c r="F21" s="33"/>
      <c r="G21" s="33"/>
      <c r="H21" s="33"/>
    </row>
    <row r="22" spans="1:8" ht="23.1" customHeight="1">
      <c r="A22" s="1"/>
      <c r="B22" s="1"/>
      <c r="C22" s="1"/>
      <c r="D22" s="1"/>
      <c r="E22" s="1"/>
      <c r="F22" s="1"/>
      <c r="G22" s="1"/>
      <c r="H22" s="1"/>
    </row>
    <row r="23" spans="1:8" ht="23.1" customHeight="1">
      <c r="A23" s="1"/>
      <c r="B23" s="1"/>
      <c r="C23" s="1"/>
      <c r="D23" s="1"/>
      <c r="E23" s="1"/>
      <c r="F23" s="1"/>
      <c r="G23" s="1"/>
      <c r="H23" s="1"/>
    </row>
    <row r="24" spans="1:8" ht="23.1" customHeight="1">
      <c r="A24" s="1"/>
      <c r="B24" s="1"/>
      <c r="C24" s="1"/>
      <c r="D24" s="1"/>
      <c r="E24" s="1"/>
      <c r="F24" s="1"/>
      <c r="G24" s="1"/>
      <c r="H24" s="1"/>
    </row>
    <row r="25" spans="1:8" ht="23.1" customHeight="1">
      <c r="A25" s="1"/>
      <c r="B25" s="1"/>
      <c r="C25" s="1"/>
      <c r="D25" s="1"/>
      <c r="E25" s="1"/>
      <c r="F25" s="1"/>
      <c r="G25" s="1"/>
      <c r="H25" s="1"/>
    </row>
    <row r="26" spans="1:8" ht="23.1" customHeight="1">
      <c r="A26" s="1"/>
      <c r="B26" s="1"/>
      <c r="C26" s="1"/>
      <c r="D26" s="1"/>
      <c r="E26" s="1"/>
      <c r="F26" s="1"/>
      <c r="G26" s="1"/>
      <c r="H26" s="1"/>
    </row>
    <row r="27" spans="1:8" ht="23.1" customHeight="1">
      <c r="A27" s="1"/>
      <c r="B27" s="1"/>
      <c r="C27" s="1"/>
      <c r="D27" s="1"/>
      <c r="E27" s="1"/>
      <c r="F27" s="1"/>
      <c r="G27" s="1"/>
      <c r="H27" s="1"/>
    </row>
    <row r="28" spans="1:8" ht="23.1" customHeight="1">
      <c r="A28" s="1"/>
      <c r="B28" s="1"/>
      <c r="C28" s="1"/>
      <c r="D28" s="1"/>
      <c r="E28" s="1"/>
      <c r="F28" s="1"/>
      <c r="G28" s="1"/>
      <c r="H28" s="1"/>
    </row>
    <row r="29" spans="1:8" ht="23.1" customHeight="1">
      <c r="A29" s="1"/>
      <c r="B29" s="1"/>
      <c r="C29" s="1"/>
      <c r="D29" s="1"/>
      <c r="E29" s="1"/>
      <c r="F29" s="1"/>
      <c r="G29" s="1"/>
      <c r="H29" s="1"/>
    </row>
    <row r="30" spans="1:8" ht="23.1" customHeight="1">
      <c r="A30" s="1"/>
      <c r="B30" s="1"/>
      <c r="C30" s="1"/>
      <c r="D30" s="1"/>
      <c r="E30" s="1"/>
      <c r="F30" s="1"/>
      <c r="G30" s="1"/>
      <c r="H30" s="1"/>
    </row>
  </sheetData>
  <mergeCells count="16">
    <mergeCell ref="A21:H21"/>
    <mergeCell ref="A10:H10"/>
    <mergeCell ref="A11:H11"/>
    <mergeCell ref="A12:H12"/>
    <mergeCell ref="A13:H13"/>
    <mergeCell ref="A17:H17"/>
    <mergeCell ref="A6:H6"/>
    <mergeCell ref="A7:H7"/>
    <mergeCell ref="A8:H8"/>
    <mergeCell ref="A9:H9"/>
    <mergeCell ref="A19:H19"/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5A3B"/>
  </sheetPr>
  <dimension ref="A1:O85"/>
  <sheetViews>
    <sheetView showGridLines="0" workbookViewId="0">
      <pane ySplit="8" topLeftCell="A35" activePane="bottomLeft" state="frozen"/>
      <selection pane="bottomLeft" activeCell="M40" sqref="M40:M42"/>
    </sheetView>
  </sheetViews>
  <sheetFormatPr defaultRowHeight="14.25"/>
  <cols>
    <col min="1" max="5" width="13" customWidth="1"/>
    <col min="6" max="6" width="14.25" customWidth="1"/>
    <col min="7" max="9" width="13" customWidth="1"/>
    <col min="10" max="10" width="29" customWidth="1"/>
    <col min="11" max="11" width="17" customWidth="1"/>
    <col min="12" max="12" width="36" customWidth="1"/>
  </cols>
  <sheetData>
    <row r="1" spans="1:15" ht="18.95" customHeight="1">
      <c r="A1" s="32" t="s">
        <v>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5" ht="18.95" customHeight="1">
      <c r="A2" s="33" t="s">
        <v>15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5" ht="18.95" hidden="1" customHeight="1">
      <c r="A3" s="33" t="s">
        <v>16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5" ht="18.95" hidden="1" customHeight="1">
      <c r="A4" s="33" t="s">
        <v>17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5" ht="18.95" hidden="1" customHeight="1">
      <c r="A5" s="33" t="s">
        <v>18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5" ht="18.95" hidden="1" customHeight="1">
      <c r="A6" s="33" t="s">
        <v>19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5" ht="18.95" customHeight="1">
      <c r="A7" s="33" t="s">
        <v>20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5" ht="38.1" customHeight="1">
      <c r="A8" s="2" t="s">
        <v>21</v>
      </c>
      <c r="B8" s="2" t="s">
        <v>22</v>
      </c>
      <c r="C8" s="2" t="s">
        <v>23</v>
      </c>
      <c r="D8" s="2" t="s">
        <v>134</v>
      </c>
      <c r="E8" s="2" t="s">
        <v>133</v>
      </c>
      <c r="F8" s="2" t="s">
        <v>132</v>
      </c>
      <c r="G8" s="2" t="s">
        <v>24</v>
      </c>
      <c r="H8" s="2" t="s">
        <v>25</v>
      </c>
      <c r="I8" s="1"/>
      <c r="J8" s="1"/>
      <c r="K8" s="1"/>
      <c r="L8" s="1"/>
    </row>
    <row r="9" spans="1:15" ht="23.1" customHeight="1">
      <c r="A9" s="5">
        <v>45292</v>
      </c>
      <c r="B9" s="11">
        <v>1</v>
      </c>
      <c r="C9" s="6">
        <v>1317</v>
      </c>
      <c r="D9" s="12">
        <f>B9</f>
        <v>1</v>
      </c>
      <c r="E9" s="12">
        <f>LN(C9)</f>
        <v>7.1831117017432806</v>
      </c>
      <c r="F9" s="12">
        <f t="array" ref="F9:F32">TREND(E9:E32,D9:D32,D9:D32,TRUE)</f>
        <v>7.1399932854616397</v>
      </c>
      <c r="G9" s="12">
        <f>E9-F9</f>
        <v>4.3118416281640926E-2</v>
      </c>
      <c r="H9" s="12">
        <f>G9^2</f>
        <v>1.8591978226368772E-3</v>
      </c>
      <c r="I9" s="1"/>
      <c r="J9" s="1" t="s">
        <v>26</v>
      </c>
      <c r="K9" s="10">
        <f>COUNT(B9:B32)</f>
        <v>24</v>
      </c>
      <c r="L9" s="7" t="s">
        <v>27</v>
      </c>
    </row>
    <row r="10" spans="1:15" ht="23.1" customHeight="1">
      <c r="A10" s="5">
        <v>45323</v>
      </c>
      <c r="B10" s="11">
        <v>2</v>
      </c>
      <c r="C10" s="6">
        <v>1330</v>
      </c>
      <c r="D10" s="12">
        <f t="shared" ref="D10:D25" si="0">B10</f>
        <v>2</v>
      </c>
      <c r="E10" s="12">
        <f t="shared" ref="E10:E25" si="1">LN(C10)</f>
        <v>7.1929342212157996</v>
      </c>
      <c r="F10" s="12">
        <v>7.1688158896475516</v>
      </c>
      <c r="G10" s="12">
        <f t="shared" ref="G10:G32" si="2">E10-F10</f>
        <v>2.4118331568248053E-2</v>
      </c>
      <c r="H10" s="12">
        <f t="shared" ref="H10:H32" si="3">G10^2</f>
        <v>5.8169391763595061E-4</v>
      </c>
      <c r="I10" s="1"/>
      <c r="J10" s="1" t="s">
        <v>28</v>
      </c>
      <c r="K10" s="11">
        <v>2</v>
      </c>
      <c r="L10" s="7" t="s">
        <v>29</v>
      </c>
    </row>
    <row r="11" spans="1:15" ht="23.1" customHeight="1">
      <c r="A11" s="5">
        <v>45352</v>
      </c>
      <c r="B11" s="11">
        <v>3</v>
      </c>
      <c r="C11" s="6">
        <v>1311</v>
      </c>
      <c r="D11" s="12">
        <f t="shared" si="0"/>
        <v>3</v>
      </c>
      <c r="E11" s="12">
        <f t="shared" si="1"/>
        <v>7.1785454837636999</v>
      </c>
      <c r="F11" s="12">
        <v>7.1976384938334643</v>
      </c>
      <c r="G11" s="12">
        <f t="shared" si="2"/>
        <v>-1.9093010069764382E-2</v>
      </c>
      <c r="H11" s="12">
        <f t="shared" si="3"/>
        <v>3.6454303352412412E-4</v>
      </c>
      <c r="I11" s="1"/>
      <c r="J11" s="1" t="s">
        <v>30</v>
      </c>
      <c r="K11" s="8">
        <f>INTERCEPT(E9:E32,D9:D32)</f>
        <v>7.1111706812757278</v>
      </c>
      <c r="L11" s="7" t="s">
        <v>31</v>
      </c>
    </row>
    <row r="12" spans="1:15" ht="23.1" customHeight="1">
      <c r="A12" s="5">
        <v>45383</v>
      </c>
      <c r="B12" s="11">
        <v>4</v>
      </c>
      <c r="C12" s="6">
        <v>1365</v>
      </c>
      <c r="D12" s="12">
        <f t="shared" si="0"/>
        <v>4</v>
      </c>
      <c r="E12" s="12">
        <f t="shared" si="1"/>
        <v>7.2189097076190603</v>
      </c>
      <c r="F12" s="12">
        <v>7.2264610980193762</v>
      </c>
      <c r="G12" s="12">
        <f t="shared" si="2"/>
        <v>-7.5513904003159382E-3</v>
      </c>
      <c r="H12" s="12">
        <f t="shared" si="3"/>
        <v>5.7023496977983708E-5</v>
      </c>
      <c r="I12" s="1"/>
      <c r="J12" s="1" t="s">
        <v>32</v>
      </c>
      <c r="K12" s="8">
        <f>SLOPE(E9:E32,D9:D32)</f>
        <v>2.8822604185912086E-2</v>
      </c>
      <c r="L12" s="7" t="s">
        <v>33</v>
      </c>
      <c r="N12" cm="1">
        <f t="array" ref="N12:O16">LINEST(D9:D32,E9:E32,TRUE,TRUE)</f>
        <v>34.009977118354854</v>
      </c>
      <c r="O12">
        <v>-241.60395351558176</v>
      </c>
    </row>
    <row r="13" spans="1:15" ht="23.1" customHeight="1">
      <c r="A13" s="5">
        <v>45413</v>
      </c>
      <c r="B13" s="11">
        <v>5</v>
      </c>
      <c r="C13" s="6">
        <v>1467</v>
      </c>
      <c r="D13" s="12">
        <f t="shared" si="0"/>
        <v>5</v>
      </c>
      <c r="E13" s="12">
        <f t="shared" si="1"/>
        <v>7.2909747781429814</v>
      </c>
      <c r="F13" s="12">
        <v>7.2552837022052881</v>
      </c>
      <c r="G13" s="12">
        <f t="shared" si="2"/>
        <v>3.5691075937693384E-2</v>
      </c>
      <c r="H13" s="12">
        <f t="shared" si="3"/>
        <v>1.2738529015901957E-3</v>
      </c>
      <c r="I13" s="1"/>
      <c r="J13" s="1" t="s">
        <v>34</v>
      </c>
      <c r="K13" s="8">
        <f>SUM(H9:H32)</f>
        <v>1.9242321488285214E-2</v>
      </c>
      <c r="L13" s="7" t="s">
        <v>35</v>
      </c>
      <c r="N13">
        <v>1.0290621260671926</v>
      </c>
      <c r="O13">
        <v>7.6913855742671524</v>
      </c>
    </row>
    <row r="14" spans="1:15" ht="23.1" customHeight="1">
      <c r="A14" s="5">
        <v>45444</v>
      </c>
      <c r="B14" s="11">
        <v>6</v>
      </c>
      <c r="C14" s="6">
        <v>1411</v>
      </c>
      <c r="D14" s="12">
        <f t="shared" si="0"/>
        <v>6</v>
      </c>
      <c r="E14" s="12">
        <f t="shared" si="1"/>
        <v>7.2520539518528144</v>
      </c>
      <c r="F14" s="12">
        <v>7.2841063063911999</v>
      </c>
      <c r="G14" s="12">
        <f t="shared" si="2"/>
        <v>-3.2052354538385508E-2</v>
      </c>
      <c r="H14" s="12">
        <f t="shared" si="3"/>
        <v>1.027353431454362E-3</v>
      </c>
      <c r="I14" s="1"/>
      <c r="J14" s="1" t="s">
        <v>36</v>
      </c>
      <c r="K14" s="8">
        <f>SQRT(K13/O15)</f>
        <v>2.9574498757210358E-2</v>
      </c>
      <c r="L14" s="7" t="s">
        <v>37</v>
      </c>
      <c r="N14">
        <v>0.98025610885426906</v>
      </c>
      <c r="O14">
        <v>1.0159070022217611</v>
      </c>
    </row>
    <row r="15" spans="1:15" ht="23.1" customHeight="1">
      <c r="A15" s="5">
        <v>45474</v>
      </c>
      <c r="B15" s="11">
        <v>7</v>
      </c>
      <c r="C15" s="6">
        <v>1446</v>
      </c>
      <c r="D15" s="12">
        <f t="shared" si="0"/>
        <v>7</v>
      </c>
      <c r="E15" s="12">
        <f t="shared" si="1"/>
        <v>7.2765564027187102</v>
      </c>
      <c r="F15" s="12">
        <v>7.3129289105771127</v>
      </c>
      <c r="G15" s="12">
        <f t="shared" si="2"/>
        <v>-3.6372507858402514E-2</v>
      </c>
      <c r="H15" s="12">
        <f t="shared" si="3"/>
        <v>1.3229593279095527E-3</v>
      </c>
      <c r="I15" s="1"/>
      <c r="J15" s="1" t="s">
        <v>38</v>
      </c>
      <c r="K15" s="8">
        <f>AVERAGE(D9:D32)</f>
        <v>12.5</v>
      </c>
      <c r="L15" s="7" t="s">
        <v>39</v>
      </c>
      <c r="N15">
        <v>1092.2687040572009</v>
      </c>
      <c r="O15">
        <v>22</v>
      </c>
    </row>
    <row r="16" spans="1:15" ht="23.1" customHeight="1">
      <c r="A16" s="5">
        <v>45505</v>
      </c>
      <c r="B16" s="11">
        <v>8</v>
      </c>
      <c r="C16" s="6">
        <v>1603</v>
      </c>
      <c r="D16" s="12">
        <f t="shared" si="0"/>
        <v>8</v>
      </c>
      <c r="E16" s="12">
        <f t="shared" si="1"/>
        <v>7.3796321526095525</v>
      </c>
      <c r="F16" s="12">
        <v>7.3417515147630246</v>
      </c>
      <c r="G16" s="12">
        <f t="shared" si="2"/>
        <v>3.7880637846527954E-2</v>
      </c>
      <c r="H16" s="12">
        <f t="shared" si="3"/>
        <v>1.4349427236598059E-3</v>
      </c>
      <c r="I16" s="1"/>
      <c r="J16" s="1" t="s">
        <v>40</v>
      </c>
      <c r="K16" s="8" cm="1">
        <f t="array" ref="K16">SUMSQ(D9:D32-$K$15)</f>
        <v>1150</v>
      </c>
      <c r="L16" s="7" t="s">
        <v>41</v>
      </c>
      <c r="N16">
        <v>1127.2945251824094</v>
      </c>
      <c r="O16">
        <v>22.70547481759052</v>
      </c>
    </row>
    <row r="17" spans="1:12" ht="23.1" customHeight="1">
      <c r="A17" s="5">
        <v>45536</v>
      </c>
      <c r="B17" s="11">
        <v>9</v>
      </c>
      <c r="C17" s="6">
        <v>1588</v>
      </c>
      <c r="D17" s="12">
        <f t="shared" si="0"/>
        <v>9</v>
      </c>
      <c r="E17" s="12">
        <f t="shared" si="1"/>
        <v>7.3702306418070807</v>
      </c>
      <c r="F17" s="12">
        <v>7.3705741189489364</v>
      </c>
      <c r="G17" s="12">
        <f t="shared" si="2"/>
        <v>-3.4347714185578582E-4</v>
      </c>
      <c r="H17" s="12">
        <f t="shared" si="3"/>
        <v>1.1797654697741962E-7</v>
      </c>
      <c r="I17" s="1"/>
      <c r="J17" s="1" t="s">
        <v>42</v>
      </c>
      <c r="K17" s="8">
        <f>_xlfn.T.INV.2T(K19,O15)</f>
        <v>2.0738730679040258</v>
      </c>
      <c r="L17" s="7" t="s">
        <v>43</v>
      </c>
    </row>
    <row r="18" spans="1:12" ht="23.1" customHeight="1">
      <c r="A18" s="5">
        <v>45566</v>
      </c>
      <c r="B18" s="11">
        <v>10</v>
      </c>
      <c r="C18" s="6">
        <v>1591</v>
      </c>
      <c r="D18" s="12">
        <f t="shared" si="0"/>
        <v>10</v>
      </c>
      <c r="E18" s="12">
        <f t="shared" si="1"/>
        <v>7.3721180283377867</v>
      </c>
      <c r="F18" s="12">
        <v>7.3993967231348483</v>
      </c>
      <c r="G18" s="12">
        <f t="shared" si="2"/>
        <v>-2.7278694797061576E-2</v>
      </c>
      <c r="H18" s="12">
        <f t="shared" si="3"/>
        <v>7.4412718983123431E-4</v>
      </c>
      <c r="I18" s="1"/>
      <c r="J18" s="1" t="s">
        <v>44</v>
      </c>
      <c r="K18" s="8">
        <f>RSQ(E9:E32,D9:D32)</f>
        <v>0.98025610885426917</v>
      </c>
      <c r="L18" s="7" t="s">
        <v>45</v>
      </c>
    </row>
    <row r="19" spans="1:12" ht="23.1" customHeight="1">
      <c r="A19" s="5">
        <v>45597</v>
      </c>
      <c r="B19" s="11">
        <v>11</v>
      </c>
      <c r="C19" s="6">
        <v>1618</v>
      </c>
      <c r="D19" s="12">
        <f t="shared" si="0"/>
        <v>11</v>
      </c>
      <c r="E19" s="12">
        <f t="shared" si="1"/>
        <v>7.3889460976184367</v>
      </c>
      <c r="F19" s="12">
        <v>7.4282193273207611</v>
      </c>
      <c r="G19" s="12">
        <f t="shared" si="2"/>
        <v>-3.9273229702324386E-2</v>
      </c>
      <c r="H19" s="12">
        <f t="shared" si="3"/>
        <v>1.5423865712515343E-3</v>
      </c>
      <c r="I19" s="1"/>
      <c r="J19" s="1" t="s">
        <v>46</v>
      </c>
      <c r="K19" s="9">
        <v>0.05</v>
      </c>
      <c r="L19" s="7" t="s">
        <v>47</v>
      </c>
    </row>
    <row r="20" spans="1:12" ht="23.1" customHeight="1">
      <c r="A20" s="5">
        <v>45627</v>
      </c>
      <c r="B20" s="11">
        <v>12</v>
      </c>
      <c r="C20" s="6">
        <v>1744</v>
      </c>
      <c r="D20" s="12">
        <f t="shared" si="0"/>
        <v>12</v>
      </c>
      <c r="E20" s="12">
        <f t="shared" si="1"/>
        <v>7.463936604468925</v>
      </c>
      <c r="F20" s="12">
        <v>7.4570419315066729</v>
      </c>
      <c r="G20" s="12">
        <f t="shared" si="2"/>
        <v>6.8946729622521019E-3</v>
      </c>
      <c r="H20" s="12">
        <f t="shared" si="3"/>
        <v>4.7536515256410171E-5</v>
      </c>
      <c r="I20" s="1"/>
    </row>
    <row r="21" spans="1:12" ht="23.1" customHeight="1">
      <c r="A21" s="5">
        <v>45658</v>
      </c>
      <c r="B21" s="11">
        <v>13</v>
      </c>
      <c r="C21" s="6">
        <v>1852</v>
      </c>
      <c r="D21" s="12">
        <f t="shared" si="0"/>
        <v>13</v>
      </c>
      <c r="E21" s="12">
        <f t="shared" si="1"/>
        <v>7.5240214152061249</v>
      </c>
      <c r="F21" s="12">
        <v>7.4858645356925848</v>
      </c>
      <c r="G21" s="12">
        <f t="shared" si="2"/>
        <v>3.8156879513540076E-2</v>
      </c>
      <c r="H21" s="12">
        <f t="shared" si="3"/>
        <v>1.4559474542108143E-3</v>
      </c>
      <c r="I21" s="1"/>
      <c r="J21" s="1"/>
      <c r="K21" s="1"/>
      <c r="L21" s="1"/>
    </row>
    <row r="22" spans="1:12" ht="23.1" customHeight="1">
      <c r="A22" s="5">
        <v>45689</v>
      </c>
      <c r="B22" s="11">
        <v>14</v>
      </c>
      <c r="C22" s="6">
        <v>1739</v>
      </c>
      <c r="D22" s="12">
        <f t="shared" si="0"/>
        <v>14</v>
      </c>
      <c r="E22" s="12">
        <f t="shared" si="1"/>
        <v>7.4610655143542832</v>
      </c>
      <c r="F22" s="12">
        <v>7.5146871398784967</v>
      </c>
      <c r="G22" s="12">
        <f t="shared" si="2"/>
        <v>-5.3621625524213457E-2</v>
      </c>
      <c r="H22" s="12">
        <f t="shared" si="3"/>
        <v>2.8752787238589799E-3</v>
      </c>
      <c r="I22" s="1"/>
      <c r="J22" s="1" t="s">
        <v>48</v>
      </c>
      <c r="K22" s="13"/>
      <c r="L22" s="1"/>
    </row>
    <row r="23" spans="1:12" ht="23.1" customHeight="1">
      <c r="A23" s="5">
        <v>45717</v>
      </c>
      <c r="B23" s="11">
        <v>15</v>
      </c>
      <c r="C23" s="6">
        <v>1867</v>
      </c>
      <c r="D23" s="12">
        <f t="shared" si="0"/>
        <v>15</v>
      </c>
      <c r="E23" s="12">
        <f t="shared" si="1"/>
        <v>7.5320881435417224</v>
      </c>
      <c r="F23" s="12">
        <v>7.5435097440644094</v>
      </c>
      <c r="G23" s="12">
        <f t="shared" si="2"/>
        <v>-1.1421600522687037E-2</v>
      </c>
      <c r="H23" s="12">
        <f t="shared" si="3"/>
        <v>1.3045295849984479E-4</v>
      </c>
      <c r="I23" s="1"/>
      <c r="J23" s="1" t="s">
        <v>49</v>
      </c>
      <c r="K23" s="13"/>
      <c r="L23" s="1"/>
    </row>
    <row r="24" spans="1:12" ht="23.1" customHeight="1">
      <c r="A24" s="5">
        <v>45748</v>
      </c>
      <c r="B24" s="11">
        <v>16</v>
      </c>
      <c r="C24" s="6">
        <v>1877</v>
      </c>
      <c r="D24" s="12">
        <f t="shared" si="0"/>
        <v>16</v>
      </c>
      <c r="E24" s="12">
        <f t="shared" si="1"/>
        <v>7.5374300365865086</v>
      </c>
      <c r="F24" s="12">
        <v>7.5723323482503213</v>
      </c>
      <c r="G24" s="12">
        <f t="shared" si="2"/>
        <v>-3.4902311663812746E-2</v>
      </c>
      <c r="H24" s="12">
        <f t="shared" si="3"/>
        <v>1.2181713594779193E-3</v>
      </c>
      <c r="I24" s="1"/>
      <c r="J24" s="1"/>
      <c r="K24" s="1"/>
      <c r="L24" s="1"/>
    </row>
    <row r="25" spans="1:12" ht="23.1" customHeight="1">
      <c r="A25" s="5">
        <v>45778</v>
      </c>
      <c r="B25" s="11">
        <v>17</v>
      </c>
      <c r="C25" s="6">
        <v>2053</v>
      </c>
      <c r="D25" s="12">
        <f t="shared" si="0"/>
        <v>17</v>
      </c>
      <c r="E25" s="12">
        <f t="shared" si="1"/>
        <v>7.6270574170189338</v>
      </c>
      <c r="F25" s="12">
        <v>7.6011549524362332</v>
      </c>
      <c r="G25" s="12">
        <f t="shared" si="2"/>
        <v>2.5902464582700624E-2</v>
      </c>
      <c r="H25" s="12">
        <f t="shared" si="3"/>
        <v>6.7093767145806019E-4</v>
      </c>
      <c r="I25" s="1"/>
      <c r="J25" s="1"/>
      <c r="K25" s="1"/>
      <c r="L25" s="1"/>
    </row>
    <row r="26" spans="1:12" ht="23.1" customHeight="1">
      <c r="A26" s="5">
        <v>45809</v>
      </c>
      <c r="B26" s="11">
        <v>18</v>
      </c>
      <c r="C26" s="6">
        <v>2089</v>
      </c>
      <c r="D26" s="12">
        <f>B26</f>
        <v>18</v>
      </c>
      <c r="E26" s="12">
        <f>LN(C26)</f>
        <v>7.6444407615565657</v>
      </c>
      <c r="F26" s="12">
        <v>7.6299775566221451</v>
      </c>
      <c r="G26" s="12">
        <f t="shared" si="2"/>
        <v>1.4463204934420659E-2</v>
      </c>
      <c r="H26" s="12">
        <f t="shared" si="3"/>
        <v>2.0918429697505011E-4</v>
      </c>
      <c r="I26" s="1"/>
      <c r="J26" s="1"/>
      <c r="K26" s="1"/>
      <c r="L26" s="1"/>
    </row>
    <row r="27" spans="1:12" ht="23.1" customHeight="1">
      <c r="A27" s="5">
        <v>45839</v>
      </c>
      <c r="B27" s="11">
        <v>19</v>
      </c>
      <c r="C27" s="6">
        <v>2114</v>
      </c>
      <c r="D27" s="12">
        <f t="shared" ref="D27:D32" si="4">B27</f>
        <v>19</v>
      </c>
      <c r="E27" s="12">
        <f t="shared" ref="E27:E32" si="5">LN(C27)</f>
        <v>7.6563371664301831</v>
      </c>
      <c r="F27" s="12">
        <v>7.6588001608080578</v>
      </c>
      <c r="G27" s="12">
        <f t="shared" si="2"/>
        <v>-2.4629943778746721E-3</v>
      </c>
      <c r="H27" s="12">
        <f t="shared" si="3"/>
        <v>6.0663413054422436E-6</v>
      </c>
      <c r="I27" s="1"/>
      <c r="J27" s="1"/>
      <c r="K27" s="1"/>
      <c r="L27" s="1"/>
    </row>
    <row r="28" spans="1:12" ht="23.1" customHeight="1">
      <c r="A28" s="5">
        <v>45870</v>
      </c>
      <c r="B28" s="11">
        <v>20</v>
      </c>
      <c r="C28" s="6">
        <v>2168</v>
      </c>
      <c r="D28" s="12">
        <f t="shared" si="4"/>
        <v>20</v>
      </c>
      <c r="E28" s="12">
        <f t="shared" si="5"/>
        <v>7.6815603625595372</v>
      </c>
      <c r="F28" s="12">
        <v>7.6876227649939697</v>
      </c>
      <c r="G28" s="12">
        <f t="shared" si="2"/>
        <v>-6.0624024344324567E-3</v>
      </c>
      <c r="H28" s="12">
        <f t="shared" si="3"/>
        <v>3.6752723277012579E-5</v>
      </c>
      <c r="I28" s="1"/>
      <c r="J28" s="1"/>
      <c r="K28" s="1"/>
      <c r="L28" s="1"/>
    </row>
    <row r="29" spans="1:12" ht="23.1" customHeight="1">
      <c r="A29" s="5">
        <v>45901</v>
      </c>
      <c r="B29" s="11">
        <v>21</v>
      </c>
      <c r="C29" s="6">
        <v>2225</v>
      </c>
      <c r="D29" s="12">
        <f t="shared" si="4"/>
        <v>21</v>
      </c>
      <c r="E29" s="12">
        <f t="shared" si="5"/>
        <v>7.7075121946003406</v>
      </c>
      <c r="F29" s="12">
        <v>7.7164453691798816</v>
      </c>
      <c r="G29" s="12">
        <f t="shared" si="2"/>
        <v>-8.9331745795409034E-3</v>
      </c>
      <c r="H29" s="12">
        <f t="shared" si="3"/>
        <v>7.9801608068555798E-5</v>
      </c>
      <c r="I29" s="1"/>
      <c r="J29" s="1"/>
      <c r="K29" s="1"/>
      <c r="L29" s="1"/>
    </row>
    <row r="30" spans="1:12" ht="23.1" customHeight="1">
      <c r="A30" s="5">
        <v>45931</v>
      </c>
      <c r="B30" s="11">
        <v>22</v>
      </c>
      <c r="C30" s="6">
        <v>2383</v>
      </c>
      <c r="D30" s="12">
        <f t="shared" si="4"/>
        <v>22</v>
      </c>
      <c r="E30" s="12">
        <f t="shared" si="5"/>
        <v>7.7761154770987417</v>
      </c>
      <c r="F30" s="12">
        <v>7.7452679733657934</v>
      </c>
      <c r="G30" s="12">
        <f t="shared" si="2"/>
        <v>3.0847503732948311E-2</v>
      </c>
      <c r="H30" s="12">
        <f t="shared" si="3"/>
        <v>9.5156848655426006E-4</v>
      </c>
      <c r="I30" s="1"/>
      <c r="J30" s="1"/>
      <c r="K30" s="1"/>
      <c r="L30" s="1"/>
    </row>
    <row r="31" spans="1:12" ht="23.1" customHeight="1">
      <c r="A31" s="5">
        <v>45962</v>
      </c>
      <c r="B31" s="11">
        <v>23</v>
      </c>
      <c r="C31" s="6">
        <v>2349</v>
      </c>
      <c r="D31" s="12">
        <f t="shared" si="4"/>
        <v>23</v>
      </c>
      <c r="E31" s="12">
        <f t="shared" si="5"/>
        <v>7.7617449846589128</v>
      </c>
      <c r="F31" s="12">
        <v>7.7740905775517053</v>
      </c>
      <c r="G31" s="12">
        <f t="shared" si="2"/>
        <v>-1.2345592892792467E-2</v>
      </c>
      <c r="H31" s="12">
        <f t="shared" si="3"/>
        <v>1.5241366387456787E-4</v>
      </c>
      <c r="I31" s="1"/>
      <c r="J31" s="1"/>
      <c r="K31" s="1"/>
      <c r="L31" s="1"/>
    </row>
    <row r="32" spans="1:12" ht="23.1" customHeight="1">
      <c r="A32" s="5">
        <v>45992</v>
      </c>
      <c r="B32" s="11">
        <v>24</v>
      </c>
      <c r="C32" s="6">
        <v>2534</v>
      </c>
      <c r="D32" s="12">
        <f>B32</f>
        <v>24</v>
      </c>
      <c r="E32" s="12">
        <f>LN(C32)</f>
        <v>7.837554360881084</v>
      </c>
      <c r="F32" s="12">
        <v>7.8029131817376181</v>
      </c>
      <c r="G32" s="12">
        <f t="shared" si="2"/>
        <v>3.4641179143465983E-2</v>
      </c>
      <c r="H32" s="12">
        <f t="shared" si="3"/>
        <v>1.2000112924497027E-3</v>
      </c>
      <c r="I32" s="1"/>
      <c r="K32" s="35" t="s">
        <v>141</v>
      </c>
      <c r="L32" s="35"/>
    </row>
    <row r="33" spans="1:14" s="26" customFormat="1" ht="23.1" customHeight="1">
      <c r="A33" s="22"/>
      <c r="B33" s="23"/>
      <c r="C33" s="24"/>
      <c r="D33" s="25"/>
      <c r="E33" s="25"/>
      <c r="F33" s="25"/>
      <c r="G33" s="25"/>
      <c r="H33" s="25"/>
      <c r="I33" s="24"/>
      <c r="K33" s="35"/>
      <c r="L33" s="35" t="s">
        <v>140</v>
      </c>
    </row>
    <row r="34" spans="1:14" ht="23.1" customHeight="1">
      <c r="A34" s="27" t="s">
        <v>137</v>
      </c>
      <c r="B34" s="27"/>
      <c r="C34" s="27"/>
      <c r="D34" s="27"/>
      <c r="E34" s="27" t="s">
        <v>135</v>
      </c>
      <c r="F34" s="27"/>
      <c r="G34" s="27"/>
      <c r="H34" s="27"/>
      <c r="I34" s="27" t="s">
        <v>136</v>
      </c>
      <c r="K34" s="35">
        <v>1</v>
      </c>
      <c r="L34" s="35">
        <v>25</v>
      </c>
    </row>
    <row r="35" spans="1:14" ht="23.1" customHeight="1">
      <c r="A35" s="27" t="s">
        <v>138</v>
      </c>
      <c r="B35" s="27"/>
      <c r="C35" s="27"/>
      <c r="D35" s="27"/>
      <c r="E35" s="27"/>
      <c r="F35" s="27"/>
      <c r="G35" s="27"/>
      <c r="H35" s="27"/>
      <c r="I35" s="27"/>
      <c r="K35" s="35">
        <v>1</v>
      </c>
      <c r="L35" s="35">
        <v>26</v>
      </c>
    </row>
    <row r="36" spans="1:14" ht="23.1" customHeight="1">
      <c r="A36" s="28">
        <f>COUNT(B9:B32)</f>
        <v>24</v>
      </c>
      <c r="B36" s="28">
        <f>SUM(D9:D32)</f>
        <v>300</v>
      </c>
      <c r="C36" s="30"/>
      <c r="D36" s="27"/>
      <c r="E36" s="29" cm="1">
        <f t="array" ref="E36:F37">MINVERSE(A36:B37)</f>
        <v>0.17753623188405798</v>
      </c>
      <c r="F36" s="29">
        <v>-1.0869565217391306E-2</v>
      </c>
      <c r="G36" s="31"/>
      <c r="H36" s="27"/>
      <c r="I36" s="28">
        <f>SUM(E9:E32)</f>
        <v>179.31487760639109</v>
      </c>
      <c r="K36" s="35">
        <v>1</v>
      </c>
      <c r="L36" s="35">
        <v>27</v>
      </c>
    </row>
    <row r="37" spans="1:14" ht="23.1" customHeight="1">
      <c r="A37" s="28">
        <f>B36</f>
        <v>300</v>
      </c>
      <c r="B37" s="28">
        <f>SUMSQ(D9:D32)</f>
        <v>4900</v>
      </c>
      <c r="C37" s="30"/>
      <c r="D37" s="27"/>
      <c r="E37" s="29">
        <v>-1.0869565217391304E-2</v>
      </c>
      <c r="F37" s="29">
        <v>8.6956521739130438E-4</v>
      </c>
      <c r="G37" s="31"/>
      <c r="H37" s="27"/>
      <c r="I37" s="28">
        <f>SUMPRODUCT(D9:D32,E9:E32)</f>
        <v>2274.5819648936872</v>
      </c>
      <c r="J37" s="27"/>
      <c r="K37" s="36"/>
      <c r="L37" s="36"/>
    </row>
    <row r="38" spans="1:14" s="26" customFormat="1" ht="23.1" customHeight="1">
      <c r="A38" s="30"/>
      <c r="B38" s="30"/>
      <c r="C38" s="30"/>
      <c r="D38" s="30" t="s">
        <v>139</v>
      </c>
      <c r="E38" s="31"/>
      <c r="F38" s="31"/>
      <c r="G38" s="31"/>
      <c r="H38" s="30"/>
      <c r="I38" s="30"/>
      <c r="J38" s="30"/>
      <c r="K38" s="30"/>
      <c r="L38" s="30" t="s">
        <v>142</v>
      </c>
    </row>
    <row r="39" spans="1:14" ht="38.1" customHeight="1">
      <c r="A39" s="2" t="s">
        <v>21</v>
      </c>
      <c r="B39" s="2" t="s">
        <v>50</v>
      </c>
      <c r="C39" s="2" t="s">
        <v>51</v>
      </c>
      <c r="D39" s="2" t="s">
        <v>52</v>
      </c>
      <c r="E39" s="2" t="s">
        <v>53</v>
      </c>
      <c r="F39" s="2" t="s">
        <v>54</v>
      </c>
      <c r="G39" s="2" t="s">
        <v>55</v>
      </c>
      <c r="H39" s="2" t="s">
        <v>56</v>
      </c>
      <c r="I39" s="2" t="s">
        <v>57</v>
      </c>
      <c r="J39" s="2" t="s">
        <v>58</v>
      </c>
      <c r="K39" s="2" t="s">
        <v>59</v>
      </c>
      <c r="L39" s="2" t="s">
        <v>60</v>
      </c>
      <c r="M39" s="2" t="s">
        <v>143</v>
      </c>
    </row>
    <row r="40" spans="1:14" ht="23.1" customHeight="1">
      <c r="A40" s="5">
        <v>46023</v>
      </c>
      <c r="B40" s="6">
        <v>25</v>
      </c>
      <c r="C40" s="3">
        <f>B40</f>
        <v>25</v>
      </c>
      <c r="D40" s="3" cm="1">
        <f t="array" ref="D40:D42">TREND(E9:E32,D9:D32,C40:C42,TRUE)</f>
        <v>7.8317357859235299</v>
      </c>
      <c r="E40" s="14" cm="1">
        <f t="array" ref="E40">$K$14*SQRT(1+MMULT(MMULT(K34:L34,_xlfn.ANCHORARRAY($E$36)),TRANSPOSE(K34:L34)))</f>
        <v>3.2092572588753449E-2</v>
      </c>
      <c r="F40" s="14">
        <f>E40^2</f>
        <v>1.0299332153644093E-3</v>
      </c>
      <c r="G40" s="3">
        <f>EXP(D40)</f>
        <v>2519.2985432989167</v>
      </c>
      <c r="H40" s="3">
        <f>EXP(D40+F40/2)</f>
        <v>2520.5962320280005</v>
      </c>
      <c r="I40" s="3">
        <f>EXP(D40-$K$17*E40)</f>
        <v>2357.0824045547729</v>
      </c>
      <c r="J40" s="3">
        <f>EXP(D40+$K$17*E40)</f>
        <v>2692.6785156104447</v>
      </c>
      <c r="K40" s="3">
        <f>Realizacje!B7</f>
        <v>2504</v>
      </c>
      <c r="L40" s="3">
        <f>K40-H40</f>
        <v>-16.596232028000486</v>
      </c>
      <c r="M40">
        <f>(J40-I40)/2</f>
        <v>167.79805552783591</v>
      </c>
      <c r="N40" s="37">
        <f>M40/K40</f>
        <v>6.7012003006324247E-2</v>
      </c>
    </row>
    <row r="41" spans="1:14" ht="23.1" customHeight="1">
      <c r="A41" s="5">
        <v>46054</v>
      </c>
      <c r="B41" s="6">
        <v>26</v>
      </c>
      <c r="C41" s="3">
        <f t="shared" ref="C41:C42" si="6">B41</f>
        <v>26</v>
      </c>
      <c r="D41" s="3">
        <v>7.8605583901094418</v>
      </c>
      <c r="E41" s="14" cm="1">
        <f t="array" ref="E41">$K$14*SQRT(1+MMULT(MMULT(K35:L35,_xlfn.ANCHORARRAY($E$36)),TRANSPOSE(K35:L35)))</f>
        <v>3.2399196488484189E-2</v>
      </c>
      <c r="F41" s="14">
        <f t="shared" ref="F41:F42" si="7">E41^2</f>
        <v>1.0497079330994061E-3</v>
      </c>
      <c r="G41" s="3">
        <f t="shared" ref="G41:G42" si="8">EXP(D41)</f>
        <v>2592.9678588512279</v>
      </c>
      <c r="H41" s="3">
        <f t="shared" ref="H41:H42" si="9">EXP(D41+F41/2)</f>
        <v>2594.3291455241865</v>
      </c>
      <c r="I41" s="3">
        <f t="shared" ref="I41:I42" si="10">EXP(D41-$K$17*E41)</f>
        <v>2424.4659906734901</v>
      </c>
      <c r="J41" s="3">
        <f t="shared" ref="J41:J42" si="11">EXP(D41+$K$17*E41)</f>
        <v>2773.1807098551262</v>
      </c>
      <c r="K41" s="3">
        <f>Realizacje!B8</f>
        <v>2549</v>
      </c>
      <c r="L41" s="3">
        <f t="shared" ref="L41:L42" si="12">K41-H41</f>
        <v>-45.329145524186515</v>
      </c>
      <c r="M41">
        <f t="shared" ref="M41:M42" si="13">(J41-I41)/2</f>
        <v>174.35735959081808</v>
      </c>
      <c r="N41" s="37">
        <f t="shared" ref="N41:N42" si="14">M41/K41</f>
        <v>6.8402259549163624E-2</v>
      </c>
    </row>
    <row r="42" spans="1:14" ht="23.1" customHeight="1">
      <c r="A42" s="5">
        <v>46082</v>
      </c>
      <c r="B42" s="6">
        <v>27</v>
      </c>
      <c r="C42" s="3">
        <f t="shared" si="6"/>
        <v>27</v>
      </c>
      <c r="D42" s="3">
        <v>7.8893809942953537</v>
      </c>
      <c r="E42" s="14" cm="1">
        <f t="array" ref="E42">$K$14*SQRT(1+MMULT(MMULT(K36:L36,_xlfn.ANCHORARRAY($E$36)),TRANSPOSE(K36:L36)))</f>
        <v>3.272619414120536E-2</v>
      </c>
      <c r="F42" s="14">
        <f t="shared" si="7"/>
        <v>1.071003782967864E-3</v>
      </c>
      <c r="G42" s="3">
        <f t="shared" si="8"/>
        <v>2668.7914121648328</v>
      </c>
      <c r="H42" s="3">
        <f t="shared" si="9"/>
        <v>2670.2209377366862</v>
      </c>
      <c r="I42" s="3">
        <f t="shared" si="10"/>
        <v>2493.670552916069</v>
      </c>
      <c r="J42" s="3">
        <f t="shared" si="11"/>
        <v>2856.2103335245529</v>
      </c>
      <c r="K42" s="3">
        <f>Realizacje!B9</f>
        <v>2630</v>
      </c>
      <c r="L42" s="3">
        <f t="shared" si="12"/>
        <v>-40.22093773668621</v>
      </c>
      <c r="M42">
        <f t="shared" si="13"/>
        <v>181.26989030424193</v>
      </c>
      <c r="N42" s="37">
        <f t="shared" si="14"/>
        <v>6.8923912663209852E-2</v>
      </c>
    </row>
    <row r="43" spans="1:14" ht="23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t="s">
        <v>144</v>
      </c>
    </row>
    <row r="44" spans="1:14" ht="30" customHeight="1">
      <c r="A44" s="33" t="s">
        <v>61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spans="1:14" ht="42" customHeight="1">
      <c r="A45" s="34" t="s">
        <v>62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spans="1:14" ht="23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4" ht="23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4" ht="35.1" customHeight="1">
      <c r="A48" s="33" t="s">
        <v>63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3.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3.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3.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3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3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3.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3.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3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3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3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3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3.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39.950000000000003" customHeight="1">
      <c r="A65" s="33" t="s">
        <v>64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3.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3.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3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23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3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3.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3.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3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3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3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3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3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3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3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3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3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3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3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23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23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mergeCells count="11">
    <mergeCell ref="A65:L65"/>
    <mergeCell ref="A6:L6"/>
    <mergeCell ref="A7:L7"/>
    <mergeCell ref="A44:L44"/>
    <mergeCell ref="A45:L45"/>
    <mergeCell ref="A48:L48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5A3B"/>
  </sheetPr>
  <dimension ref="A1:L85"/>
  <sheetViews>
    <sheetView showGridLines="0" workbookViewId="0">
      <pane ySplit="8" topLeftCell="A31" activePane="bottomLeft" state="frozen"/>
      <selection pane="bottomLeft" activeCell="J36" sqref="J36"/>
    </sheetView>
  </sheetViews>
  <sheetFormatPr defaultRowHeight="14.25"/>
  <cols>
    <col min="1" max="9" width="13" customWidth="1"/>
    <col min="10" max="10" width="29" customWidth="1"/>
    <col min="11" max="11" width="17" customWidth="1"/>
    <col min="12" max="12" width="36" customWidth="1"/>
  </cols>
  <sheetData>
    <row r="1" spans="1:12" ht="23.1" customHeight="1">
      <c r="A1" s="32" t="s">
        <v>65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23.1" customHeight="1">
      <c r="A2" s="33" t="s">
        <v>66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23.1" customHeight="1">
      <c r="A3" s="33" t="s">
        <v>16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23.1" customHeight="1">
      <c r="A4" s="33" t="s">
        <v>67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3.1" customHeight="1">
      <c r="A5" s="33" t="s">
        <v>18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23.1" customHeight="1">
      <c r="A6" s="33" t="s">
        <v>19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ht="23.1" customHeight="1">
      <c r="A7" s="33" t="s">
        <v>20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 ht="38.1" customHeight="1">
      <c r="A8" s="2" t="s">
        <v>21</v>
      </c>
      <c r="B8" s="2" t="s">
        <v>68</v>
      </c>
      <c r="C8" s="2" t="s">
        <v>69</v>
      </c>
      <c r="D8" s="2" t="s">
        <v>134</v>
      </c>
      <c r="E8" s="2" t="s">
        <v>133</v>
      </c>
      <c r="F8" s="2" t="s">
        <v>132</v>
      </c>
      <c r="G8" s="2" t="s">
        <v>24</v>
      </c>
      <c r="H8" s="2" t="s">
        <v>25</v>
      </c>
      <c r="I8" s="1"/>
      <c r="J8" s="1"/>
      <c r="K8" s="1"/>
      <c r="L8" s="1"/>
    </row>
    <row r="9" spans="1:12" ht="23.1" customHeight="1">
      <c r="A9" s="5">
        <v>45292</v>
      </c>
      <c r="B9" s="15">
        <v>120.6</v>
      </c>
      <c r="C9" s="6">
        <v>732.9</v>
      </c>
      <c r="D9" s="12" cm="1">
        <f t="array" ref="D9:D32">LN(B9:B32)</f>
        <v>4.7924792842930852</v>
      </c>
      <c r="E9" s="12">
        <f>LN(C9)</f>
        <v>6.5970092669318046</v>
      </c>
      <c r="F9" s="12" cm="1">
        <f t="array" ref="F9:F32">TREND(E9:E32,D9:D32,D9:D32,1)</f>
        <v>6.5493115858448148</v>
      </c>
      <c r="G9" s="12" cm="1">
        <f t="array" ref="G9:G32">E9:E32-F9:F32</f>
        <v>4.7697681086989796E-2</v>
      </c>
      <c r="H9" s="12" cm="1">
        <f t="array" ref="H9:H32">G9:G32^2</f>
        <v>2.2750687810761841E-3</v>
      </c>
      <c r="I9" s="1"/>
      <c r="J9" s="1" t="s">
        <v>26</v>
      </c>
      <c r="K9" s="10">
        <f>COUNT(A9:A32)</f>
        <v>24</v>
      </c>
      <c r="L9" s="7" t="s">
        <v>27</v>
      </c>
    </row>
    <row r="10" spans="1:12" ht="23.1" customHeight="1">
      <c r="A10" s="5">
        <v>45323</v>
      </c>
      <c r="B10" s="15">
        <v>109.8</v>
      </c>
      <c r="C10" s="6">
        <v>644.6</v>
      </c>
      <c r="D10" s="12">
        <v>4.69866052907543</v>
      </c>
      <c r="E10" s="12">
        <f t="shared" ref="E10:E31" si="0">LN(C10)</f>
        <v>6.4686299693813378</v>
      </c>
      <c r="F10" s="12">
        <v>6.4837942632437553</v>
      </c>
      <c r="G10" s="12">
        <v>-1.5164293862417466E-2</v>
      </c>
      <c r="H10" s="12">
        <v>2.2995580834575205E-4</v>
      </c>
      <c r="I10" s="1"/>
      <c r="J10" s="1" t="s">
        <v>28</v>
      </c>
      <c r="K10" s="11">
        <v>2</v>
      </c>
      <c r="L10" s="7" t="s">
        <v>29</v>
      </c>
    </row>
    <row r="11" spans="1:12" ht="23.1" customHeight="1">
      <c r="A11" s="5">
        <v>45352</v>
      </c>
      <c r="B11" s="15">
        <v>169.3</v>
      </c>
      <c r="C11" s="6">
        <v>917.9</v>
      </c>
      <c r="D11" s="12">
        <v>5.1316722891390896</v>
      </c>
      <c r="E11" s="12">
        <f t="shared" si="0"/>
        <v>6.8220884522250449</v>
      </c>
      <c r="F11" s="12">
        <v>6.7861833869144625</v>
      </c>
      <c r="G11" s="12">
        <v>3.5905065310582351E-2</v>
      </c>
      <c r="H11" s="12">
        <v>1.2891737149571842E-3</v>
      </c>
      <c r="I11" s="1"/>
      <c r="J11" s="1" t="s">
        <v>30</v>
      </c>
      <c r="K11" s="8">
        <f>INTERCEPT(E9:E32,_xlfn.ANCHORARRAY(D9))</f>
        <v>3.2025350207594996</v>
      </c>
      <c r="L11" s="7" t="s">
        <v>31</v>
      </c>
    </row>
    <row r="12" spans="1:12" ht="23.1" customHeight="1">
      <c r="A12" s="5">
        <v>45383</v>
      </c>
      <c r="B12" s="15">
        <v>90</v>
      </c>
      <c r="C12" s="6">
        <v>591.5</v>
      </c>
      <c r="D12" s="12">
        <v>4.499809670330265</v>
      </c>
      <c r="E12" s="12">
        <f t="shared" si="0"/>
        <v>6.3826616834184415</v>
      </c>
      <c r="F12" s="12">
        <v>6.3449288963810222</v>
      </c>
      <c r="G12" s="12">
        <v>3.7732787037419335E-2</v>
      </c>
      <c r="H12" s="12">
        <v>1.4237632176112406E-3</v>
      </c>
      <c r="I12" s="1"/>
      <c r="J12" s="1" t="s">
        <v>32</v>
      </c>
      <c r="K12" s="8">
        <f>SLOPE(E9:E32,_xlfn.ANCHORARRAY(D9))</f>
        <v>0.69833928673496215</v>
      </c>
      <c r="L12" s="7" t="s">
        <v>33</v>
      </c>
    </row>
    <row r="13" spans="1:12" ht="23.1" customHeight="1">
      <c r="A13" s="5">
        <v>45413</v>
      </c>
      <c r="B13" s="15">
        <v>123.9</v>
      </c>
      <c r="C13" s="6">
        <v>708.2</v>
      </c>
      <c r="D13" s="12">
        <v>4.8194747886350964</v>
      </c>
      <c r="E13" s="12">
        <f t="shared" si="0"/>
        <v>6.5627265396778034</v>
      </c>
      <c r="F13" s="12">
        <v>6.5681636070920657</v>
      </c>
      <c r="G13" s="12">
        <v>-5.4370674142623088E-3</v>
      </c>
      <c r="H13" s="12">
        <v>2.9561702067233027E-5</v>
      </c>
      <c r="I13" s="1"/>
      <c r="J13" s="1" t="s">
        <v>34</v>
      </c>
      <c r="K13" s="8">
        <f>SUM(_xlfn.ANCHORARRAY(H9))</f>
        <v>3.4496037298509107E-2</v>
      </c>
      <c r="L13" s="7" t="s">
        <v>35</v>
      </c>
    </row>
    <row r="14" spans="1:12" ht="23.1" customHeight="1">
      <c r="A14" s="5">
        <v>45444</v>
      </c>
      <c r="B14" s="15">
        <v>90.2</v>
      </c>
      <c r="C14" s="6">
        <v>536</v>
      </c>
      <c r="D14" s="12">
        <v>4.5020294270685781</v>
      </c>
      <c r="E14" s="12">
        <f t="shared" si="0"/>
        <v>6.2841341610708019</v>
      </c>
      <c r="F14" s="12">
        <v>6.3464790397183801</v>
      </c>
      <c r="G14" s="12">
        <v>-6.2344878647578206E-2</v>
      </c>
      <c r="H14" s="12">
        <v>3.8868838935812531E-3</v>
      </c>
      <c r="I14" s="1"/>
      <c r="J14" s="1" t="s">
        <v>36</v>
      </c>
      <c r="K14" s="8">
        <f>SQRT(K13/(K9-K10))</f>
        <v>3.9598001153931715E-2</v>
      </c>
      <c r="L14" s="7" t="s">
        <v>37</v>
      </c>
    </row>
    <row r="15" spans="1:12" ht="23.1" customHeight="1">
      <c r="A15" s="5">
        <v>45474</v>
      </c>
      <c r="B15" s="15">
        <v>117.1</v>
      </c>
      <c r="C15" s="6">
        <v>661.3</v>
      </c>
      <c r="D15" s="12">
        <v>4.7630282706036713</v>
      </c>
      <c r="E15" s="12">
        <f t="shared" si="0"/>
        <v>6.494207594680617</v>
      </c>
      <c r="F15" s="12">
        <v>6.5287447859513277</v>
      </c>
      <c r="G15" s="12">
        <v>-3.4537191270710643E-2</v>
      </c>
      <c r="H15" s="12">
        <v>1.1928175808696515E-3</v>
      </c>
      <c r="I15" s="1"/>
      <c r="J15" s="1" t="s">
        <v>38</v>
      </c>
      <c r="K15" s="8">
        <f>AVERAGE(_xlfn.ANCHORARRAY(D9))</f>
        <v>4.8073215631325619</v>
      </c>
      <c r="L15" s="7" t="s">
        <v>39</v>
      </c>
    </row>
    <row r="16" spans="1:12" ht="23.1" customHeight="1">
      <c r="A16" s="5">
        <v>45505</v>
      </c>
      <c r="B16" s="15">
        <v>89.4</v>
      </c>
      <c r="C16" s="6">
        <v>582.1</v>
      </c>
      <c r="D16" s="12">
        <v>4.4931206821794687</v>
      </c>
      <c r="E16" s="12">
        <f t="shared" si="0"/>
        <v>6.3666422542776901</v>
      </c>
      <c r="F16" s="12">
        <v>6.3402577131668165</v>
      </c>
      <c r="G16" s="12">
        <v>2.6384541110873627E-2</v>
      </c>
      <c r="H16" s="12">
        <v>6.9614400963138054E-4</v>
      </c>
      <c r="I16" s="1"/>
      <c r="J16" s="1" t="s">
        <v>40</v>
      </c>
      <c r="K16" s="8" cm="1">
        <f t="array" ref="K16">SUMSQ(D11:D32-$K$15)</f>
        <v>1.0035163202527693</v>
      </c>
      <c r="L16" s="7" t="s">
        <v>41</v>
      </c>
    </row>
    <row r="17" spans="1:12" ht="23.1" customHeight="1">
      <c r="A17" s="5">
        <v>45536</v>
      </c>
      <c r="B17" s="15">
        <v>132.30000000000001</v>
      </c>
      <c r="C17" s="6">
        <v>733.2</v>
      </c>
      <c r="D17" s="12">
        <v>4.8850720711209101</v>
      </c>
      <c r="E17" s="12">
        <f t="shared" si="0"/>
        <v>6.5974185159655496</v>
      </c>
      <c r="F17" s="12">
        <v>6.6139727665549604</v>
      </c>
      <c r="G17" s="12">
        <v>-1.6554250589410735E-2</v>
      </c>
      <c r="H17" s="12">
        <v>2.7404321257700566E-4</v>
      </c>
      <c r="I17" s="1"/>
      <c r="J17" s="1" t="s">
        <v>42</v>
      </c>
      <c r="K17" s="8"/>
      <c r="L17" s="7" t="s">
        <v>43</v>
      </c>
    </row>
    <row r="18" spans="1:12" ht="23.1" customHeight="1">
      <c r="A18" s="5">
        <v>45566</v>
      </c>
      <c r="B18" s="15">
        <v>86.8</v>
      </c>
      <c r="C18" s="6">
        <v>570.5</v>
      </c>
      <c r="D18" s="12">
        <v>4.4636066216663046</v>
      </c>
      <c r="E18" s="12">
        <f t="shared" si="0"/>
        <v>6.3465131693021304</v>
      </c>
      <c r="F18" s="12">
        <v>6.3196468851994005</v>
      </c>
      <c r="G18" s="12">
        <v>2.6866284102729843E-2</v>
      </c>
      <c r="H18" s="12">
        <v>7.2179722148859422E-4</v>
      </c>
      <c r="I18" s="1"/>
      <c r="J18" s="1" t="s">
        <v>44</v>
      </c>
      <c r="K18" s="8"/>
      <c r="L18" s="7" t="s">
        <v>45</v>
      </c>
    </row>
    <row r="19" spans="1:12" ht="23.1" customHeight="1">
      <c r="A19" s="5">
        <v>45597</v>
      </c>
      <c r="B19" s="15">
        <v>123.9</v>
      </c>
      <c r="C19" s="6">
        <v>670.3</v>
      </c>
      <c r="D19" s="12">
        <v>4.8194747886350964</v>
      </c>
      <c r="E19" s="12">
        <f t="shared" si="0"/>
        <v>6.507725373363912</v>
      </c>
      <c r="F19" s="12">
        <v>6.5681636070920657</v>
      </c>
      <c r="G19" s="12">
        <v>-6.0438233728153712E-2</v>
      </c>
      <c r="H19" s="12">
        <v>3.6527800961789368E-3</v>
      </c>
      <c r="I19" s="1"/>
      <c r="J19" s="1" t="s">
        <v>46</v>
      </c>
      <c r="K19" s="9">
        <v>0.05</v>
      </c>
      <c r="L19" s="7" t="s">
        <v>47</v>
      </c>
    </row>
    <row r="20" spans="1:12" ht="23.1" customHeight="1">
      <c r="A20" s="5">
        <v>45627</v>
      </c>
      <c r="B20" s="15">
        <v>138.4</v>
      </c>
      <c r="C20" s="6">
        <v>821.8</v>
      </c>
      <c r="D20" s="12">
        <v>4.9301480431835696</v>
      </c>
      <c r="E20" s="12">
        <f t="shared" si="0"/>
        <v>6.7114970564493097</v>
      </c>
      <c r="F20" s="12">
        <v>6.6454510887340827</v>
      </c>
      <c r="G20" s="12">
        <v>6.6045967715226972E-2</v>
      </c>
      <c r="H20" s="12">
        <v>4.3620698514408038E-3</v>
      </c>
      <c r="I20" s="1"/>
    </row>
    <row r="21" spans="1:12" ht="23.1" customHeight="1">
      <c r="A21" s="5">
        <v>45658</v>
      </c>
      <c r="B21" s="15">
        <v>161.19999999999999</v>
      </c>
      <c r="C21" s="6">
        <v>849</v>
      </c>
      <c r="D21" s="12">
        <v>5.0826458300725275</v>
      </c>
      <c r="E21" s="12">
        <f t="shared" si="0"/>
        <v>6.7440591863113477</v>
      </c>
      <c r="F21" s="12">
        <v>6.7519462844587785</v>
      </c>
      <c r="G21" s="12">
        <v>-7.8870981474308266E-3</v>
      </c>
      <c r="H21" s="12">
        <v>6.2206317187206778E-5</v>
      </c>
      <c r="I21" s="1"/>
      <c r="J21" s="1"/>
      <c r="K21" s="1"/>
      <c r="L21" s="1"/>
    </row>
    <row r="22" spans="1:12" ht="23.1" customHeight="1">
      <c r="A22" s="5">
        <v>45689</v>
      </c>
      <c r="B22" s="15">
        <v>165.7</v>
      </c>
      <c r="C22" s="6">
        <v>838.2</v>
      </c>
      <c r="D22" s="12">
        <v>5.1101789244325175</v>
      </c>
      <c r="E22" s="12">
        <f t="shared" si="0"/>
        <v>6.7312567354909714</v>
      </c>
      <c r="F22" s="12">
        <v>6.7711737259357401</v>
      </c>
      <c r="G22" s="12">
        <v>-3.9916990444768707E-2</v>
      </c>
      <c r="H22" s="12">
        <v>1.5933661261677563E-3</v>
      </c>
      <c r="I22" s="1"/>
      <c r="J22" s="1" t="s">
        <v>70</v>
      </c>
      <c r="K22" s="3">
        <f>EXP(K11)</f>
        <v>24.594799564164198</v>
      </c>
      <c r="L22" s="1"/>
    </row>
    <row r="23" spans="1:12" ht="23.1" customHeight="1">
      <c r="A23" s="5">
        <v>45717</v>
      </c>
      <c r="B23" s="15">
        <v>137.80000000000001</v>
      </c>
      <c r="C23" s="6">
        <v>792.9</v>
      </c>
      <c r="D23" s="12">
        <v>4.9258033585795582</v>
      </c>
      <c r="E23" s="12">
        <f t="shared" si="0"/>
        <v>6.6756971102783531</v>
      </c>
      <c r="F23" s="12">
        <v>6.6424170247866297</v>
      </c>
      <c r="G23" s="12">
        <v>3.3280085491723455E-2</v>
      </c>
      <c r="H23" s="12">
        <v>1.1075640903364221E-3</v>
      </c>
      <c r="I23" s="1"/>
      <c r="J23" s="1" t="s">
        <v>71</v>
      </c>
      <c r="K23" s="13"/>
      <c r="L23" s="1"/>
    </row>
    <row r="24" spans="1:12" ht="23.1" customHeight="1">
      <c r="A24" s="5">
        <v>45748</v>
      </c>
      <c r="B24" s="15">
        <v>149.6</v>
      </c>
      <c r="C24" s="6">
        <v>832.4</v>
      </c>
      <c r="D24" s="12">
        <v>5.0079650655403771</v>
      </c>
      <c r="E24" s="12">
        <f t="shared" si="0"/>
        <v>6.7243130945194789</v>
      </c>
      <c r="F24" s="12">
        <v>6.6997937726225745</v>
      </c>
      <c r="G24" s="12">
        <v>2.4519321896904422E-2</v>
      </c>
      <c r="H24" s="12">
        <v>6.0119714628401673E-4</v>
      </c>
      <c r="I24" s="1"/>
      <c r="J24" s="1"/>
      <c r="K24" s="1"/>
      <c r="L24" s="1"/>
    </row>
    <row r="25" spans="1:12" ht="23.1" customHeight="1">
      <c r="A25" s="5">
        <v>45778</v>
      </c>
      <c r="B25" s="15">
        <v>101.1</v>
      </c>
      <c r="C25" s="6">
        <v>600.5</v>
      </c>
      <c r="D25" s="12">
        <v>4.6161101260264257</v>
      </c>
      <c r="E25" s="12">
        <f t="shared" si="0"/>
        <v>6.3977626415200382</v>
      </c>
      <c r="F25" s="12">
        <v>6.4261460736588294</v>
      </c>
      <c r="G25" s="12">
        <v>-2.8383432138791242E-2</v>
      </c>
      <c r="H25" s="12">
        <v>8.0561921997736763E-4</v>
      </c>
      <c r="I25" s="1"/>
      <c r="J25" s="1"/>
      <c r="K25" s="1"/>
      <c r="L25" s="1"/>
    </row>
    <row r="26" spans="1:12" ht="23.1" customHeight="1">
      <c r="A26" s="5">
        <v>45809</v>
      </c>
      <c r="B26" s="15">
        <v>107.3</v>
      </c>
      <c r="C26" s="6">
        <v>630.4</v>
      </c>
      <c r="D26" s="12">
        <v>4.6756286496366526</v>
      </c>
      <c r="E26" s="12">
        <f t="shared" si="0"/>
        <v>6.4463545385436696</v>
      </c>
      <c r="F26" s="12">
        <v>6.4677101969843136</v>
      </c>
      <c r="G26" s="12">
        <v>-2.1355658440644021E-2</v>
      </c>
      <c r="H26" s="12">
        <v>4.5606414743345022E-4</v>
      </c>
      <c r="I26" s="1"/>
      <c r="J26" s="1"/>
      <c r="K26" s="1"/>
      <c r="L26" s="1"/>
    </row>
    <row r="27" spans="1:12" ht="23.1" customHeight="1">
      <c r="A27" s="5">
        <v>45839</v>
      </c>
      <c r="B27" s="15">
        <v>169.9</v>
      </c>
      <c r="C27" s="6">
        <v>908.5</v>
      </c>
      <c r="D27" s="12">
        <v>5.1352100286778866</v>
      </c>
      <c r="E27" s="12">
        <f t="shared" si="0"/>
        <v>6.8117948878362258</v>
      </c>
      <c r="F27" s="12">
        <v>6.7886539294206401</v>
      </c>
      <c r="G27" s="12">
        <v>2.3140958415585722E-2</v>
      </c>
      <c r="H27" s="12">
        <v>5.3550395639186761E-4</v>
      </c>
      <c r="I27" s="1"/>
      <c r="J27" s="1"/>
      <c r="K27" s="1"/>
      <c r="L27" s="1"/>
    </row>
    <row r="28" spans="1:12" ht="23.1" customHeight="1">
      <c r="A28" s="5">
        <v>45870</v>
      </c>
      <c r="B28" s="15">
        <v>106.2</v>
      </c>
      <c r="C28" s="6">
        <v>683.6</v>
      </c>
      <c r="D28" s="12">
        <v>4.6653241088078383</v>
      </c>
      <c r="E28" s="12">
        <f t="shared" si="0"/>
        <v>6.5273729512414356</v>
      </c>
      <c r="F28" s="12">
        <v>6.460514131291788</v>
      </c>
      <c r="G28" s="12">
        <v>6.6858819949647597E-2</v>
      </c>
      <c r="H28" s="12">
        <v>4.4701018050593956E-3</v>
      </c>
      <c r="I28" s="1"/>
      <c r="J28" s="1"/>
      <c r="K28" s="1"/>
      <c r="L28" s="1"/>
    </row>
    <row r="29" spans="1:12" ht="23.1" customHeight="1">
      <c r="A29" s="5">
        <v>45901</v>
      </c>
      <c r="B29" s="15">
        <v>117.3</v>
      </c>
      <c r="C29" s="6">
        <v>654.29999999999995</v>
      </c>
      <c r="D29" s="12">
        <v>4.7647347556594299</v>
      </c>
      <c r="E29" s="12">
        <f t="shared" si="0"/>
        <v>6.4835659618756933</v>
      </c>
      <c r="F29" s="12">
        <v>6.52993649150799</v>
      </c>
      <c r="G29" s="12">
        <v>-4.6370529632296709E-2</v>
      </c>
      <c r="H29" s="12">
        <v>2.1502260183797069E-3</v>
      </c>
      <c r="I29" s="1"/>
      <c r="J29" s="1"/>
      <c r="K29" s="1"/>
      <c r="L29" s="1"/>
    </row>
    <row r="30" spans="1:12" ht="23.1" customHeight="1">
      <c r="A30" s="5">
        <v>45931</v>
      </c>
      <c r="B30" s="15">
        <v>107</v>
      </c>
      <c r="C30" s="6">
        <v>654.6</v>
      </c>
      <c r="D30" s="12">
        <v>4.6728288344619058</v>
      </c>
      <c r="E30" s="12">
        <f t="shared" si="0"/>
        <v>6.4840243620670801</v>
      </c>
      <c r="F30" s="12">
        <v>6.4657549760521915</v>
      </c>
      <c r="G30" s="12">
        <v>1.8269386014888589E-2</v>
      </c>
      <c r="H30" s="12">
        <v>3.3377046536100678E-4</v>
      </c>
      <c r="I30" s="1"/>
      <c r="J30" s="1"/>
      <c r="K30" s="1"/>
      <c r="L30" s="1"/>
    </row>
    <row r="31" spans="1:12" ht="23.1" customHeight="1">
      <c r="A31" s="5">
        <v>45962</v>
      </c>
      <c r="B31" s="15">
        <v>141.4</v>
      </c>
      <c r="C31" s="6">
        <v>756.6</v>
      </c>
      <c r="D31" s="12">
        <v>4.9515927534624726</v>
      </c>
      <c r="E31" s="12">
        <f t="shared" si="0"/>
        <v>6.6288347121989286</v>
      </c>
      <c r="F31" s="12">
        <v>6.6604267724144908</v>
      </c>
      <c r="G31" s="12">
        <v>-3.1592060215562157E-2</v>
      </c>
      <c r="H31" s="12">
        <v>9.9805826866370523E-4</v>
      </c>
      <c r="I31" s="1"/>
      <c r="J31" s="1"/>
      <c r="K31" s="1"/>
      <c r="L31" s="1"/>
    </row>
    <row r="32" spans="1:12" ht="23.1" customHeight="1">
      <c r="A32" s="5">
        <v>45992</v>
      </c>
      <c r="B32" s="15">
        <v>143.9</v>
      </c>
      <c r="C32" s="6">
        <v>762</v>
      </c>
      <c r="D32" s="12">
        <v>4.9691186138933219</v>
      </c>
      <c r="E32" s="12">
        <f>LN(C32)</f>
        <v>6.6359465556866466</v>
      </c>
      <c r="F32" s="12">
        <v>6.6726657692871854</v>
      </c>
      <c r="G32" s="12">
        <v>-3.6719213600538758E-2</v>
      </c>
      <c r="H32" s="12">
        <v>1.3483006474419904E-3</v>
      </c>
      <c r="I32" s="1"/>
      <c r="J32" s="1"/>
      <c r="K32" s="1"/>
      <c r="L32" s="1"/>
    </row>
    <row r="33" spans="1:12" s="26" customFormat="1" ht="23.1" customHeight="1">
      <c r="A33" s="22"/>
      <c r="B33" s="23"/>
      <c r="C33" s="24"/>
      <c r="D33" s="25"/>
      <c r="E33" s="25"/>
      <c r="F33" s="25"/>
      <c r="G33" s="25"/>
      <c r="H33" s="25"/>
      <c r="I33" s="24"/>
      <c r="J33" s="24"/>
      <c r="K33" s="24"/>
      <c r="L33" s="24"/>
    </row>
    <row r="34" spans="1:12" ht="23.1" customHeight="1">
      <c r="A34" s="27" t="s">
        <v>137</v>
      </c>
      <c r="B34" s="27"/>
      <c r="C34" s="27"/>
      <c r="D34" s="27"/>
      <c r="E34" s="27" t="s">
        <v>135</v>
      </c>
      <c r="F34" s="27"/>
      <c r="G34" s="27"/>
      <c r="H34" s="27"/>
      <c r="I34" s="27" t="s">
        <v>136</v>
      </c>
      <c r="J34" s="27"/>
      <c r="K34" s="27" t="s">
        <v>51</v>
      </c>
      <c r="L34" s="27"/>
    </row>
    <row r="35" spans="1:12" ht="23.1" customHeight="1">
      <c r="A35" s="27"/>
      <c r="B35" s="27"/>
      <c r="C35" s="27"/>
      <c r="D35" s="27"/>
      <c r="E35" s="27"/>
      <c r="F35" s="27"/>
      <c r="G35" s="27"/>
      <c r="H35" s="27"/>
      <c r="I35" s="27"/>
      <c r="J35" s="27">
        <v>1</v>
      </c>
      <c r="K35" s="27">
        <v>4.5653893159762466</v>
      </c>
      <c r="L35" s="27"/>
    </row>
    <row r="36" spans="1:12" ht="23.1" customHeight="1">
      <c r="A36">
        <f>COUNT(A9:A32)</f>
        <v>24</v>
      </c>
      <c r="B36" s="28">
        <f>SUM(_xlfn.ANCHORARRAY(D9))</f>
        <v>115.37571751518149</v>
      </c>
      <c r="C36" s="30"/>
      <c r="D36" s="27"/>
      <c r="E36" s="29" cm="1">
        <f t="array" ref="E36:F37">MINVERSE(A36:B37)</f>
        <v>22.798282227532102</v>
      </c>
      <c r="F36" s="29">
        <v>-4.7337410784804446</v>
      </c>
      <c r="G36" s="31"/>
      <c r="H36" s="27"/>
      <c r="I36" s="28"/>
      <c r="J36" s="27">
        <v>1</v>
      </c>
      <c r="K36" s="27">
        <v>4.9856593080260785</v>
      </c>
      <c r="L36" s="27"/>
    </row>
    <row r="37" spans="1:12" ht="23.1" customHeight="1">
      <c r="A37" s="28">
        <f>B36</f>
        <v>115.37571751518149</v>
      </c>
      <c r="B37" s="28">
        <f>SUMSQ(_xlfn.ANCHORARRAY(D9))</f>
        <v>555.6637185064393</v>
      </c>
      <c r="C37" s="30"/>
      <c r="D37" s="27"/>
      <c r="E37" s="29">
        <v>-4.7337410784804446</v>
      </c>
      <c r="F37" s="29">
        <v>0.9846940788782661</v>
      </c>
      <c r="G37" s="31" t="s">
        <v>145</v>
      </c>
      <c r="H37" s="27"/>
      <c r="I37" s="28"/>
      <c r="J37" s="27">
        <v>1</v>
      </c>
      <c r="K37" s="27">
        <v>4.5829245770407718</v>
      </c>
      <c r="L37" s="27"/>
    </row>
    <row r="38" spans="1:12" s="26" customFormat="1" ht="23.1" customHeight="1">
      <c r="A38" s="30"/>
      <c r="B38" s="30"/>
      <c r="C38" s="30"/>
      <c r="D38" s="30"/>
      <c r="E38" s="31"/>
      <c r="F38" s="31"/>
      <c r="G38" s="26" t="s">
        <v>148</v>
      </c>
      <c r="H38" s="30" t="s">
        <v>149</v>
      </c>
      <c r="I38" s="30"/>
      <c r="J38" s="30"/>
      <c r="K38" s="30"/>
      <c r="L38" s="30"/>
    </row>
    <row r="39" spans="1:12" ht="38.1" customHeight="1">
      <c r="A39" s="2" t="s">
        <v>21</v>
      </c>
      <c r="B39" s="2" t="s">
        <v>72</v>
      </c>
      <c r="C39" s="2" t="s">
        <v>51</v>
      </c>
      <c r="D39" s="2" t="s">
        <v>52</v>
      </c>
      <c r="E39" s="2" t="s">
        <v>53</v>
      </c>
      <c r="F39" s="2" t="s">
        <v>54</v>
      </c>
      <c r="G39" s="2" t="s">
        <v>55</v>
      </c>
      <c r="H39" s="2" t="s">
        <v>56</v>
      </c>
      <c r="I39" s="2" t="s">
        <v>57</v>
      </c>
      <c r="J39" s="2" t="s">
        <v>58</v>
      </c>
      <c r="K39" s="2" t="s">
        <v>59</v>
      </c>
      <c r="L39" s="2" t="s">
        <v>60</v>
      </c>
    </row>
    <row r="40" spans="1:12" ht="23.1" customHeight="1">
      <c r="A40" s="5">
        <v>46023</v>
      </c>
      <c r="B40" s="6">
        <v>96.1</v>
      </c>
      <c r="C40" s="3">
        <f>LN(B40)</f>
        <v>4.5653893159762466</v>
      </c>
      <c r="D40" s="3" cm="1">
        <f t="array" ref="D40:D42">TREND(E9:E32,_xlfn.ANCHORARRAY(D9),C40:C42,1)</f>
        <v>6.3907257393457684</v>
      </c>
      <c r="E40" s="14" cm="1">
        <f t="array" ref="E40">$K$14*SQRT(1+MMULT(MMULT(J35:K35,_xlfn.ANCHORARRAY($E$36)),TRANSPOSE(J35:K35)))</f>
        <v>4.151755540986491E-2</v>
      </c>
      <c r="F40" s="14">
        <f>E40^2</f>
        <v>1.723707407211203E-3</v>
      </c>
      <c r="G40" s="3">
        <f>EXP(D40)</f>
        <v>596.28917320841322</v>
      </c>
      <c r="H40" s="3">
        <f>EXP(D40+F40)</f>
        <v>597.31788761973087</v>
      </c>
      <c r="I40" s="3"/>
      <c r="J40" s="3"/>
      <c r="K40" s="3">
        <f>Realizacje!C7</f>
        <v>574.70000000000005</v>
      </c>
      <c r="L40" s="3">
        <f>K40-H40</f>
        <v>-22.617887619730823</v>
      </c>
    </row>
    <row r="41" spans="1:12" ht="23.1" customHeight="1">
      <c r="A41" s="5">
        <v>46054</v>
      </c>
      <c r="B41" s="6">
        <v>146.30000000000001</v>
      </c>
      <c r="C41" s="3">
        <f t="shared" ref="C41:C42" si="1">LN(B41)</f>
        <v>4.9856593080260785</v>
      </c>
      <c r="D41" s="3">
        <v>6.6842167858299568</v>
      </c>
      <c r="E41" s="14" cm="1">
        <f t="array" ref="E41">$K$14*SQRT(1+MMULT(MMULT(J36:K36,_xlfn.ANCHORARRAY($E$36)),TRANSPOSE(J36:K36)))</f>
        <v>4.1017570391630509E-2</v>
      </c>
      <c r="F41" s="14">
        <f t="shared" ref="F41:F42" si="2">E41^2</f>
        <v>1.6824410808323638E-3</v>
      </c>
      <c r="G41" s="3">
        <f t="shared" ref="G41:G42" si="3">EXP(D41)</f>
        <v>799.6841089130329</v>
      </c>
      <c r="H41" s="3">
        <f t="shared" ref="H41:H42" si="4">EXP(D41+F41)</f>
        <v>801.03066274066487</v>
      </c>
      <c r="I41" s="3"/>
      <c r="J41" s="3"/>
      <c r="K41" s="3">
        <f>Realizacje!C8</f>
        <v>845.3</v>
      </c>
      <c r="L41" s="3">
        <f t="shared" ref="L41:L42" si="5">K41-H41</f>
        <v>44.269337259335089</v>
      </c>
    </row>
    <row r="42" spans="1:12" ht="23.1" customHeight="1">
      <c r="A42" s="5">
        <v>46082</v>
      </c>
      <c r="B42" s="6">
        <v>97.8</v>
      </c>
      <c r="C42" s="3">
        <f t="shared" si="1"/>
        <v>4.5829245770407718</v>
      </c>
      <c r="D42" s="3">
        <v>6.4029713010502807</v>
      </c>
      <c r="E42" s="14" cm="1">
        <f t="array" ref="E42">$K$14*SQRT(1+MMULT(MMULT(J37:K37,_xlfn.ANCHORARRAY($E$36)),TRANSPOSE(J37:K37)))</f>
        <v>4.1365224364128296E-2</v>
      </c>
      <c r="F42" s="14">
        <f t="shared" si="2"/>
        <v>1.7110817866946731E-3</v>
      </c>
      <c r="G42" s="3">
        <f t="shared" si="3"/>
        <v>603.63596003204952</v>
      </c>
      <c r="H42" s="3">
        <f t="shared" si="4"/>
        <v>604.66971469622433</v>
      </c>
      <c r="I42" s="3"/>
      <c r="J42" s="3"/>
      <c r="K42" s="3">
        <f>Realizacje!C9</f>
        <v>631.79999999999995</v>
      </c>
      <c r="L42" s="3">
        <f t="shared" si="5"/>
        <v>27.130285303775622</v>
      </c>
    </row>
    <row r="43" spans="1:12" ht="23.1" customHeight="1">
      <c r="A43" s="1"/>
      <c r="B43" s="1"/>
      <c r="C43" s="1"/>
      <c r="D43" s="1"/>
      <c r="E43" s="1"/>
      <c r="F43" s="1"/>
      <c r="G43" s="1" t="s">
        <v>147</v>
      </c>
      <c r="H43" s="1" t="s">
        <v>146</v>
      </c>
      <c r="I43" s="1"/>
      <c r="J43" s="1"/>
      <c r="K43" s="1"/>
      <c r="L43" s="1"/>
    </row>
    <row r="44" spans="1:12" ht="30" customHeight="1">
      <c r="A44" s="33" t="s">
        <v>61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spans="1:12" ht="42" customHeight="1">
      <c r="A45" s="34" t="s">
        <v>62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spans="1:12" ht="23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3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35.1" customHeight="1">
      <c r="A48" s="33" t="s">
        <v>63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3.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3.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3.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3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3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3.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3.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3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3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3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3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3.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39.950000000000003" customHeight="1">
      <c r="A65" s="33" t="s">
        <v>64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3.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3.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3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23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3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3.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3.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3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3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3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3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3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3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3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3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3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3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3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23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23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mergeCells count="11">
    <mergeCell ref="A65:L65"/>
    <mergeCell ref="A6:L6"/>
    <mergeCell ref="A7:L7"/>
    <mergeCell ref="A44:L44"/>
    <mergeCell ref="A45:L45"/>
    <mergeCell ref="A48:L48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5A3B"/>
  </sheetPr>
  <dimension ref="A1:M107"/>
  <sheetViews>
    <sheetView showGridLines="0" workbookViewId="0">
      <pane ySplit="8" topLeftCell="A9" activePane="bottomLeft" state="frozen"/>
      <selection pane="bottomLeft" activeCell="J9" sqref="J9"/>
    </sheetView>
  </sheetViews>
  <sheetFormatPr defaultRowHeight="14.25"/>
  <cols>
    <col min="1" max="11" width="13" customWidth="1"/>
    <col min="12" max="12" width="28" customWidth="1"/>
    <col min="13" max="13" width="18" customWidth="1"/>
  </cols>
  <sheetData>
    <row r="1" spans="1:13" ht="21" customHeight="1">
      <c r="A1" s="32" t="s">
        <v>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1" customHeight="1">
      <c r="A2" s="33" t="s">
        <v>74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21" customHeight="1">
      <c r="A3" s="33" t="s">
        <v>75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ht="21" customHeight="1">
      <c r="A4" s="33" t="s">
        <v>76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21" customHeight="1">
      <c r="A5" s="33" t="s">
        <v>77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ht="21" customHeight="1">
      <c r="A6" s="33" t="s">
        <v>78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3" ht="21" customHeight="1">
      <c r="A7" s="33" t="s">
        <v>79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 ht="38.1" customHeight="1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89</v>
      </c>
      <c r="K8" s="1"/>
      <c r="L8" s="1"/>
      <c r="M8" s="1"/>
    </row>
    <row r="9" spans="1:13" ht="23.1" customHeight="1">
      <c r="A9" s="16">
        <f>Modele_CW!A45</f>
        <v>45544</v>
      </c>
      <c r="B9" s="6">
        <f>Modele_CW!D45</f>
        <v>347.98</v>
      </c>
      <c r="C9" s="6">
        <f>Modele_CW!K45</f>
        <v>334.67083733493837</v>
      </c>
      <c r="D9" s="6">
        <f>Modele_CW!L45</f>
        <v>355.7521029300222</v>
      </c>
      <c r="E9" s="3"/>
      <c r="F9" s="3"/>
      <c r="G9" s="3"/>
      <c r="H9" s="3"/>
      <c r="I9" s="3"/>
      <c r="J9" s="3"/>
      <c r="K9" s="1"/>
      <c r="L9" s="1" t="s">
        <v>90</v>
      </c>
      <c r="M9" s="10"/>
    </row>
    <row r="10" spans="1:13" ht="23.1" customHeight="1">
      <c r="A10" s="16">
        <f>Modele_CW!A46</f>
        <v>45551</v>
      </c>
      <c r="B10" s="6">
        <f>Modele_CW!D46</f>
        <v>369.7</v>
      </c>
      <c r="C10" s="6">
        <f>Modele_CW!K46</f>
        <v>347.54773248999231</v>
      </c>
      <c r="D10" s="6">
        <f>Modele_CW!L46</f>
        <v>370.34506038123897</v>
      </c>
      <c r="E10" s="3"/>
      <c r="F10" s="3"/>
      <c r="G10" s="3"/>
      <c r="H10" s="3"/>
      <c r="I10" s="3"/>
      <c r="J10" s="3"/>
      <c r="K10" s="1"/>
      <c r="L10" s="1" t="s">
        <v>91</v>
      </c>
      <c r="M10" s="3"/>
    </row>
    <row r="11" spans="1:13" ht="23.1" customHeight="1">
      <c r="A11" s="16">
        <f>Modele_CW!A47</f>
        <v>45558</v>
      </c>
      <c r="B11" s="6">
        <f>Modele_CW!D47</f>
        <v>224.08</v>
      </c>
      <c r="C11" s="6">
        <f>Modele_CW!K47</f>
        <v>253.06705676329179</v>
      </c>
      <c r="D11" s="6">
        <f>Modele_CW!L47</f>
        <v>214.2526637193458</v>
      </c>
      <c r="E11" s="3"/>
      <c r="F11" s="3"/>
      <c r="G11" s="3"/>
      <c r="H11" s="3"/>
      <c r="I11" s="3"/>
      <c r="J11" s="3"/>
      <c r="K11" s="1"/>
      <c r="L11" s="1" t="s">
        <v>92</v>
      </c>
      <c r="M11" s="3"/>
    </row>
    <row r="12" spans="1:13" ht="23.1" customHeight="1">
      <c r="A12" s="16">
        <f>Modele_CW!A48</f>
        <v>45565</v>
      </c>
      <c r="B12" s="6">
        <f>Modele_CW!D48</f>
        <v>383.09</v>
      </c>
      <c r="C12" s="6">
        <f>Modele_CW!K48</f>
        <v>370.65385439068837</v>
      </c>
      <c r="D12" s="6">
        <f>Modele_CW!L48</f>
        <v>391.81140349720391</v>
      </c>
      <c r="E12" s="3"/>
      <c r="F12" s="3"/>
      <c r="G12" s="3"/>
      <c r="H12" s="3"/>
      <c r="I12" s="3"/>
      <c r="J12" s="3"/>
      <c r="K12" s="1"/>
      <c r="L12" s="1" t="s">
        <v>93</v>
      </c>
      <c r="M12" s="3"/>
    </row>
    <row r="13" spans="1:13" ht="23.1" customHeight="1">
      <c r="A13" s="16">
        <f>Modele_CW!A49</f>
        <v>45572</v>
      </c>
      <c r="B13" s="6">
        <f>Modele_CW!D49</f>
        <v>410.18</v>
      </c>
      <c r="C13" s="6">
        <f>Modele_CW!K49</f>
        <v>416.00575346105751</v>
      </c>
      <c r="D13" s="6">
        <f>Modele_CW!L49</f>
        <v>417.15223612128847</v>
      </c>
      <c r="E13" s="3"/>
      <c r="F13" s="3"/>
      <c r="G13" s="3"/>
      <c r="H13" s="3"/>
      <c r="I13" s="3"/>
      <c r="J13" s="3"/>
      <c r="K13" s="1"/>
      <c r="L13" s="1" t="s">
        <v>94</v>
      </c>
      <c r="M13" s="3"/>
    </row>
    <row r="14" spans="1:13" ht="23.1" customHeight="1">
      <c r="A14" s="16">
        <f>Modele_CW!A50</f>
        <v>45579</v>
      </c>
      <c r="B14" s="6">
        <f>Modele_CW!D50</f>
        <v>342.81</v>
      </c>
      <c r="C14" s="6">
        <f>Modele_CW!K50</f>
        <v>316.37717010907625</v>
      </c>
      <c r="D14" s="6">
        <f>Modele_CW!L50</f>
        <v>331.61300998173954</v>
      </c>
      <c r="E14" s="3"/>
      <c r="F14" s="3"/>
      <c r="G14" s="3"/>
      <c r="H14" s="3"/>
      <c r="I14" s="3"/>
      <c r="J14" s="3"/>
      <c r="K14" s="1"/>
      <c r="L14" s="1" t="s">
        <v>95</v>
      </c>
      <c r="M14" s="3"/>
    </row>
    <row r="15" spans="1:13" ht="23.1" customHeight="1">
      <c r="A15" s="16">
        <f>Modele_CW!A51</f>
        <v>45586</v>
      </c>
      <c r="B15" s="6">
        <f>Modele_CW!D51</f>
        <v>268.14999999999998</v>
      </c>
      <c r="C15" s="6">
        <f>Modele_CW!K51</f>
        <v>272.01822561582713</v>
      </c>
      <c r="D15" s="6">
        <f>Modele_CW!L51</f>
        <v>256.83439778012024</v>
      </c>
      <c r="E15" s="3"/>
      <c r="F15" s="3"/>
      <c r="G15" s="3"/>
      <c r="H15" s="3"/>
      <c r="I15" s="3"/>
      <c r="J15" s="3"/>
      <c r="K15" s="1"/>
      <c r="L15" s="1" t="s">
        <v>96</v>
      </c>
      <c r="M15" s="8"/>
    </row>
    <row r="16" spans="1:13" ht="23.1" customHeight="1">
      <c r="A16" s="16">
        <f>Modele_CW!A52</f>
        <v>45593</v>
      </c>
      <c r="B16" s="6">
        <f>Modele_CW!D52</f>
        <v>299.24</v>
      </c>
      <c r="C16" s="6">
        <f>Modele_CW!K52</f>
        <v>284.99484410786511</v>
      </c>
      <c r="D16" s="6">
        <f>Modele_CW!L52</f>
        <v>282.02806973703815</v>
      </c>
      <c r="E16" s="3"/>
      <c r="F16" s="3"/>
      <c r="G16" s="3"/>
      <c r="H16" s="3"/>
      <c r="I16" s="3"/>
      <c r="J16" s="3"/>
      <c r="K16" s="1"/>
      <c r="L16" s="1" t="s">
        <v>97</v>
      </c>
      <c r="M16" s="17"/>
    </row>
    <row r="17" spans="1:13" ht="23.1" customHeight="1">
      <c r="A17" s="16">
        <f>Modele_CW!A53</f>
        <v>45600</v>
      </c>
      <c r="B17" s="6">
        <f>Modele_CW!D53</f>
        <v>332.52</v>
      </c>
      <c r="C17" s="6">
        <f>Modele_CW!K53</f>
        <v>318.91520490426291</v>
      </c>
      <c r="D17" s="6">
        <f>Modele_CW!L53</f>
        <v>334.28926427435704</v>
      </c>
      <c r="E17" s="3"/>
      <c r="F17" s="3"/>
      <c r="G17" s="3"/>
      <c r="H17" s="3"/>
      <c r="I17" s="3"/>
      <c r="J17" s="3"/>
      <c r="K17" s="1"/>
      <c r="L17" s="1" t="s">
        <v>46</v>
      </c>
      <c r="M17" s="18">
        <v>0.05</v>
      </c>
    </row>
    <row r="18" spans="1:13" ht="23.1" customHeight="1">
      <c r="A18" s="16">
        <f>Modele_CW!A54</f>
        <v>45607</v>
      </c>
      <c r="B18" s="6">
        <f>Modele_CW!D54</f>
        <v>339.5</v>
      </c>
      <c r="C18" s="6">
        <f>Modele_CW!K54</f>
        <v>340.55677182305124</v>
      </c>
      <c r="D18" s="6">
        <f>Modele_CW!L54</f>
        <v>360.4082195698893</v>
      </c>
      <c r="E18" s="3"/>
      <c r="F18" s="3"/>
      <c r="G18" s="3"/>
      <c r="H18" s="3"/>
      <c r="I18" s="3"/>
      <c r="J18" s="3"/>
      <c r="K18" s="1"/>
      <c r="L18" s="1" t="s">
        <v>98</v>
      </c>
      <c r="M18" s="3"/>
    </row>
    <row r="19" spans="1:13" ht="23.1" customHeight="1">
      <c r="A19" s="16">
        <f>Modele_CW!A55</f>
        <v>45614</v>
      </c>
      <c r="B19" s="6">
        <f>Modele_CW!D55</f>
        <v>399.13</v>
      </c>
      <c r="C19" s="6">
        <f>Modele_CW!K55</f>
        <v>401.13243489369961</v>
      </c>
      <c r="D19" s="6">
        <f>Modele_CW!L55</f>
        <v>410.10171057805974</v>
      </c>
      <c r="E19" s="3"/>
      <c r="F19" s="3"/>
      <c r="G19" s="3"/>
      <c r="H19" s="3"/>
      <c r="I19" s="3"/>
      <c r="J19" s="3"/>
      <c r="K19" s="1"/>
      <c r="L19" s="1" t="s">
        <v>99</v>
      </c>
      <c r="M19" s="3"/>
    </row>
    <row r="20" spans="1:13" ht="23.1" customHeight="1">
      <c r="A20" s="16">
        <f>Modele_CW!A56</f>
        <v>45621</v>
      </c>
      <c r="B20" s="6">
        <f>Modele_CW!D56</f>
        <v>417.93</v>
      </c>
      <c r="C20" s="6">
        <f>Modele_CW!K56</f>
        <v>409.18474286539146</v>
      </c>
      <c r="D20" s="6">
        <f>Modele_CW!L56</f>
        <v>413.94075961446799</v>
      </c>
      <c r="E20" s="3"/>
      <c r="F20" s="3"/>
      <c r="G20" s="3"/>
      <c r="H20" s="3"/>
      <c r="I20" s="3"/>
      <c r="J20" s="3"/>
      <c r="K20" s="1"/>
      <c r="L20" s="1" t="s">
        <v>100</v>
      </c>
      <c r="M20" s="19"/>
    </row>
    <row r="21" spans="1:13" ht="23.1" customHeight="1">
      <c r="A21" s="16">
        <f>Modele_CW!A57</f>
        <v>45628</v>
      </c>
      <c r="B21" s="6">
        <f>Modele_CW!D57</f>
        <v>323.52</v>
      </c>
      <c r="C21" s="6">
        <f>Modele_CW!K57</f>
        <v>308.08712605077346</v>
      </c>
      <c r="D21" s="6">
        <f>Modele_CW!L57</f>
        <v>317.22122281382639</v>
      </c>
      <c r="E21" s="3"/>
      <c r="F21" s="3"/>
      <c r="G21" s="3"/>
      <c r="H21" s="3"/>
      <c r="I21" s="3"/>
      <c r="J21" s="3"/>
      <c r="K21" s="1"/>
      <c r="L21" s="1" t="s">
        <v>101</v>
      </c>
      <c r="M21" s="3"/>
    </row>
    <row r="22" spans="1:13" ht="23.1" customHeight="1">
      <c r="A22" s="16">
        <f>Modele_CW!A58</f>
        <v>45635</v>
      </c>
      <c r="B22" s="6">
        <f>Modele_CW!D58</f>
        <v>421.03</v>
      </c>
      <c r="C22" s="6">
        <f>Modele_CW!K58</f>
        <v>425.80917120283351</v>
      </c>
      <c r="D22" s="6">
        <f>Modele_CW!L58</f>
        <v>419.26239403338002</v>
      </c>
      <c r="E22" s="3"/>
      <c r="F22" s="3"/>
      <c r="G22" s="3"/>
      <c r="H22" s="3"/>
      <c r="I22" s="3"/>
      <c r="J22" s="3"/>
      <c r="K22" s="1"/>
      <c r="L22" s="1"/>
      <c r="M22" s="1"/>
    </row>
    <row r="23" spans="1:13" ht="23.1" customHeight="1">
      <c r="A23" s="16">
        <f>Modele_CW!A59</f>
        <v>45642</v>
      </c>
      <c r="B23" s="6">
        <f>Modele_CW!D59</f>
        <v>343.67</v>
      </c>
      <c r="C23" s="6">
        <f>Modele_CW!K59</f>
        <v>325.38943288475406</v>
      </c>
      <c r="D23" s="6">
        <f>Modele_CW!L59</f>
        <v>341.17639963338178</v>
      </c>
      <c r="E23" s="3"/>
      <c r="F23" s="3"/>
      <c r="G23" s="3"/>
      <c r="H23" s="3"/>
      <c r="I23" s="3"/>
      <c r="J23" s="3"/>
      <c r="K23" s="1"/>
      <c r="L23" s="1"/>
      <c r="M23" s="1"/>
    </row>
    <row r="24" spans="1:13" ht="23.1" customHeight="1">
      <c r="A24" s="16">
        <f>Modele_CW!A60</f>
        <v>45649</v>
      </c>
      <c r="B24" s="6">
        <f>Modele_CW!D60</f>
        <v>279.36</v>
      </c>
      <c r="C24" s="6">
        <f>Modele_CW!K60</f>
        <v>284.89344419025656</v>
      </c>
      <c r="D24" s="6">
        <f>Modele_CW!L60</f>
        <v>277.47173789781101</v>
      </c>
      <c r="E24" s="3"/>
      <c r="F24" s="3"/>
      <c r="G24" s="3"/>
      <c r="H24" s="3"/>
      <c r="I24" s="3"/>
      <c r="J24" s="3"/>
      <c r="K24" s="1"/>
      <c r="L24" s="1" t="s">
        <v>102</v>
      </c>
      <c r="M24" s="1">
        <v>20</v>
      </c>
    </row>
    <row r="25" spans="1:13" ht="23.1" customHeight="1">
      <c r="A25" s="16">
        <f>Modele_CW!A61</f>
        <v>45656</v>
      </c>
      <c r="B25" s="6">
        <f>Modele_CW!D61</f>
        <v>425.37</v>
      </c>
      <c r="C25" s="6">
        <f>Modele_CW!K61</f>
        <v>389.71877574946615</v>
      </c>
      <c r="D25" s="6">
        <f>Modele_CW!L61</f>
        <v>404.56968966080728</v>
      </c>
      <c r="E25" s="3"/>
      <c r="F25" s="3"/>
      <c r="G25" s="3"/>
      <c r="H25" s="3"/>
      <c r="I25" s="3"/>
      <c r="J25" s="3"/>
      <c r="K25" s="1"/>
      <c r="L25" s="1" t="s">
        <v>103</v>
      </c>
      <c r="M25" s="3"/>
    </row>
    <row r="26" spans="1:13" ht="23.1" customHeight="1">
      <c r="A26" s="16">
        <f>Modele_CW!A62</f>
        <v>45663</v>
      </c>
      <c r="B26" s="6">
        <f>Modele_CW!D62</f>
        <v>271.22000000000003</v>
      </c>
      <c r="C26" s="6">
        <f>Modele_CW!K62</f>
        <v>277.99918433845272</v>
      </c>
      <c r="D26" s="6">
        <f>Modele_CW!L62</f>
        <v>265.31080259988136</v>
      </c>
      <c r="E26" s="3"/>
      <c r="F26" s="3"/>
      <c r="G26" s="3"/>
      <c r="H26" s="3"/>
      <c r="I26" s="3"/>
      <c r="J26" s="3"/>
      <c r="K26" s="1"/>
      <c r="L26" s="1" t="s">
        <v>104</v>
      </c>
      <c r="M26" s="3"/>
    </row>
    <row r="27" spans="1:13" ht="23.1" customHeight="1">
      <c r="A27" s="16">
        <f>Modele_CW!A63</f>
        <v>45670</v>
      </c>
      <c r="B27" s="6">
        <f>Modele_CW!D63</f>
        <v>399</v>
      </c>
      <c r="C27" s="6">
        <f>Modele_CW!K63</f>
        <v>397.45281345188221</v>
      </c>
      <c r="D27" s="6">
        <f>Modele_CW!L63</f>
        <v>408.2320466471939</v>
      </c>
      <c r="E27" s="3"/>
      <c r="F27" s="3"/>
      <c r="G27" s="3"/>
      <c r="H27" s="3"/>
      <c r="I27" s="3"/>
      <c r="J27" s="3"/>
      <c r="K27" s="1"/>
      <c r="L27" s="1"/>
      <c r="M27" s="1"/>
    </row>
    <row r="28" spans="1:13" ht="23.1" customHeight="1">
      <c r="A28" s="16">
        <f>Modele_CW!A64</f>
        <v>45677</v>
      </c>
      <c r="B28" s="6">
        <f>Modele_CW!D64</f>
        <v>410.04</v>
      </c>
      <c r="C28" s="6">
        <f>Modele_CW!K64</f>
        <v>433.2506792274703</v>
      </c>
      <c r="D28" s="6">
        <f>Modele_CW!L64</f>
        <v>420.14120501472638</v>
      </c>
      <c r="E28" s="3"/>
      <c r="F28" s="3"/>
      <c r="G28" s="3"/>
      <c r="H28" s="3"/>
      <c r="I28" s="3"/>
      <c r="J28" s="3"/>
      <c r="K28" s="1"/>
      <c r="L28" s="1"/>
      <c r="M28" s="1"/>
    </row>
    <row r="29" spans="1:13" ht="23.1" customHeight="1">
      <c r="A29" s="16">
        <f>Modele_CW!A65</f>
        <v>45684</v>
      </c>
      <c r="B29" s="6">
        <f>Modele_CW!D65</f>
        <v>301.68</v>
      </c>
      <c r="C29" s="6">
        <f>Modele_CW!K65</f>
        <v>303.43007738441571</v>
      </c>
      <c r="D29" s="6">
        <f>Modele_CW!L65</f>
        <v>308.96212013358667</v>
      </c>
      <c r="E29" s="3"/>
      <c r="F29" s="3"/>
      <c r="G29" s="3"/>
      <c r="H29" s="3"/>
      <c r="I29" s="3"/>
      <c r="J29" s="3"/>
      <c r="K29" s="1"/>
      <c r="L29" s="1"/>
      <c r="M29" s="1"/>
    </row>
    <row r="30" spans="1:13" ht="23.1" customHeight="1">
      <c r="A30" s="16">
        <f>Modele_CW!A66</f>
        <v>45691</v>
      </c>
      <c r="B30" s="6">
        <f>Modele_CW!D66</f>
        <v>256.27999999999997</v>
      </c>
      <c r="C30" s="6">
        <f>Modele_CW!K66</f>
        <v>269.14225513761636</v>
      </c>
      <c r="D30" s="6">
        <f>Modele_CW!L66</f>
        <v>249.06343406122329</v>
      </c>
      <c r="E30" s="3"/>
      <c r="F30" s="3"/>
      <c r="G30" s="3"/>
      <c r="H30" s="3"/>
      <c r="I30" s="3"/>
      <c r="J30" s="3"/>
      <c r="K30" s="1"/>
      <c r="L30" s="1"/>
      <c r="M30" s="1"/>
    </row>
    <row r="31" spans="1:13" ht="23.1" customHeight="1">
      <c r="A31" s="16">
        <f>Modele_CW!A67</f>
        <v>45698</v>
      </c>
      <c r="B31" s="6">
        <f>Modele_CW!D67</f>
        <v>280.13</v>
      </c>
      <c r="C31" s="6">
        <f>Modele_CW!K67</f>
        <v>294.76155530528854</v>
      </c>
      <c r="D31" s="6">
        <f>Modele_CW!L67</f>
        <v>295.62806949195419</v>
      </c>
      <c r="E31" s="3"/>
      <c r="F31" s="3"/>
      <c r="G31" s="3"/>
      <c r="H31" s="3"/>
      <c r="I31" s="3"/>
      <c r="J31" s="3"/>
      <c r="K31" s="1"/>
      <c r="L31" s="1"/>
      <c r="M31" s="1"/>
    </row>
    <row r="32" spans="1:13" ht="23.1" customHeight="1">
      <c r="A32" s="16">
        <f>Modele_CW!A68</f>
        <v>45705</v>
      </c>
      <c r="B32" s="6">
        <f>Modele_CW!D68</f>
        <v>349.86</v>
      </c>
      <c r="C32" s="6">
        <f>Modele_CW!K68</f>
        <v>333.22084331809964</v>
      </c>
      <c r="D32" s="6">
        <f>Modele_CW!L68</f>
        <v>351.50249604831919</v>
      </c>
      <c r="E32" s="3"/>
      <c r="F32" s="3"/>
      <c r="G32" s="3"/>
      <c r="H32" s="3"/>
      <c r="I32" s="3"/>
      <c r="J32" s="3"/>
      <c r="K32" s="1"/>
      <c r="L32" s="1"/>
      <c r="M32" s="1"/>
    </row>
    <row r="33" spans="1:13" ht="23.1" customHeight="1">
      <c r="A33" s="16">
        <f>Modele_CW!A69</f>
        <v>45712</v>
      </c>
      <c r="B33" s="6">
        <f>Modele_CW!D69</f>
        <v>308.64999999999998</v>
      </c>
      <c r="C33" s="6">
        <f>Modele_CW!K69</f>
        <v>293.39651573632773</v>
      </c>
      <c r="D33" s="6">
        <f>Modele_CW!L69</f>
        <v>293.99217262480789</v>
      </c>
      <c r="E33" s="3"/>
      <c r="F33" s="3"/>
      <c r="G33" s="3"/>
      <c r="H33" s="3"/>
      <c r="I33" s="3"/>
      <c r="J33" s="3"/>
      <c r="K33" s="1"/>
      <c r="L33" s="1"/>
      <c r="M33" s="1"/>
    </row>
    <row r="34" spans="1:13" ht="23.1" customHeight="1">
      <c r="A34" s="16">
        <f>Modele_CW!A70</f>
        <v>45719</v>
      </c>
      <c r="B34" s="6">
        <f>Modele_CW!D70</f>
        <v>409.48</v>
      </c>
      <c r="C34" s="6">
        <f>Modele_CW!K70</f>
        <v>424.41758627552645</v>
      </c>
      <c r="D34" s="6">
        <f>Modele_CW!L70</f>
        <v>418.20794571274797</v>
      </c>
      <c r="E34" s="3"/>
      <c r="F34" s="3"/>
      <c r="G34" s="3"/>
      <c r="H34" s="3"/>
      <c r="I34" s="3"/>
      <c r="J34" s="3"/>
      <c r="K34" s="1"/>
      <c r="L34" s="1"/>
      <c r="M34" s="1"/>
    </row>
    <row r="35" spans="1:13" ht="23.1" customHeight="1">
      <c r="A35" s="16">
        <f>Modele_CW!A71</f>
        <v>45726</v>
      </c>
      <c r="B35" s="6">
        <f>Modele_CW!D71</f>
        <v>283.75</v>
      </c>
      <c r="C35" s="6">
        <f>Modele_CW!K71</f>
        <v>292.66454615532609</v>
      </c>
      <c r="D35" s="6">
        <f>Modele_CW!L71</f>
        <v>291.66897729159882</v>
      </c>
      <c r="E35" s="3"/>
      <c r="F35" s="3"/>
      <c r="G35" s="3"/>
      <c r="H35" s="3"/>
      <c r="I35" s="3"/>
      <c r="J35" s="3"/>
      <c r="K35" s="1"/>
      <c r="L35" s="1"/>
      <c r="M35" s="1"/>
    </row>
    <row r="36" spans="1:13" ht="23.1" customHeight="1">
      <c r="A36" s="16">
        <f>Modele_CW!A72</f>
        <v>45733</v>
      </c>
      <c r="B36" s="6">
        <f>Modele_CW!D72</f>
        <v>413.4</v>
      </c>
      <c r="C36" s="6">
        <f>Modele_CW!K72</f>
        <v>418.27071513701321</v>
      </c>
      <c r="D36" s="6">
        <f>Modele_CW!L72</f>
        <v>416.5862403145286</v>
      </c>
      <c r="E36" s="3"/>
      <c r="F36" s="3"/>
      <c r="G36" s="3"/>
      <c r="H36" s="3"/>
      <c r="I36" s="3"/>
      <c r="J36" s="3"/>
      <c r="K36" s="1"/>
      <c r="L36" s="1"/>
      <c r="M36" s="1"/>
    </row>
    <row r="37" spans="1:13" ht="23.1" customHeight="1">
      <c r="A37" s="16">
        <f>Modele_CW!A73</f>
        <v>45740</v>
      </c>
      <c r="B37" s="6">
        <f>Modele_CW!D73</f>
        <v>413.5</v>
      </c>
      <c r="C37" s="6">
        <f>Modele_CW!K73</f>
        <v>446.73912105449801</v>
      </c>
      <c r="D37" s="6">
        <f>Modele_CW!L73</f>
        <v>420.16941623119635</v>
      </c>
      <c r="E37" s="3"/>
      <c r="F37" s="3"/>
      <c r="G37" s="3"/>
      <c r="H37" s="3"/>
      <c r="I37" s="3"/>
      <c r="J37" s="3"/>
      <c r="K37" s="1"/>
      <c r="L37" s="1"/>
      <c r="M37" s="1"/>
    </row>
    <row r="38" spans="1:13" ht="23.1" customHeight="1">
      <c r="A38" s="16">
        <f>Modele_CW!A74</f>
        <v>45747</v>
      </c>
      <c r="B38" s="6">
        <f>Modele_CW!D74</f>
        <v>272.88</v>
      </c>
      <c r="C38" s="6">
        <f>Modele_CW!K74</f>
        <v>283.42675229753132</v>
      </c>
      <c r="D38" s="6">
        <f>Modele_CW!L74</f>
        <v>275.37903219700388</v>
      </c>
      <c r="E38" s="3"/>
      <c r="F38" s="3"/>
      <c r="G38" s="3"/>
      <c r="H38" s="3"/>
      <c r="I38" s="3"/>
      <c r="J38" s="3"/>
      <c r="K38" s="1"/>
      <c r="L38" s="1"/>
      <c r="M38" s="1"/>
    </row>
    <row r="39" spans="1:13" ht="23.1" customHeight="1">
      <c r="A39" s="16">
        <f>Modele_CW!A75</f>
        <v>45754</v>
      </c>
      <c r="B39" s="6">
        <f>Modele_CW!D75</f>
        <v>376.02</v>
      </c>
      <c r="C39" s="6">
        <f>Modele_CW!K75</f>
        <v>348.41393380037425</v>
      </c>
      <c r="D39" s="6">
        <f>Modele_CW!L75</f>
        <v>369.74852210624186</v>
      </c>
      <c r="E39" s="3"/>
      <c r="F39" s="3"/>
      <c r="G39" s="3"/>
      <c r="H39" s="3"/>
      <c r="I39" s="3"/>
      <c r="J39" s="3"/>
      <c r="K39" s="1"/>
      <c r="L39" s="1"/>
      <c r="M39" s="1"/>
    </row>
    <row r="40" spans="1:13" ht="23.1" customHeight="1">
      <c r="A40" s="16">
        <f>Modele_CW!A76</f>
        <v>45761</v>
      </c>
      <c r="B40" s="6">
        <f>Modele_CW!D76</f>
        <v>408.64</v>
      </c>
      <c r="C40" s="6">
        <f>Modele_CW!K76</f>
        <v>444.96182063357628</v>
      </c>
      <c r="D40" s="6">
        <f>Modele_CW!L76</f>
        <v>419.27971449658668</v>
      </c>
      <c r="E40" s="3"/>
      <c r="F40" s="3"/>
      <c r="G40" s="3"/>
      <c r="H40" s="3"/>
      <c r="I40" s="3"/>
      <c r="J40" s="3"/>
      <c r="K40" s="1"/>
      <c r="L40" s="1"/>
      <c r="M40" s="1"/>
    </row>
    <row r="41" spans="1:13" ht="23.1" customHeight="1">
      <c r="A41" s="16">
        <f>Modele_CW!A77</f>
        <v>45768</v>
      </c>
      <c r="B41" s="6">
        <f>Modele_CW!D77</f>
        <v>417.93</v>
      </c>
      <c r="C41" s="6">
        <f>Modele_CW!K77</f>
        <v>437.80472562445914</v>
      </c>
      <c r="D41" s="6">
        <f>Modele_CW!L77</f>
        <v>419.25164515512773</v>
      </c>
      <c r="E41" s="3"/>
      <c r="F41" s="3"/>
      <c r="G41" s="3"/>
      <c r="H41" s="3"/>
      <c r="I41" s="3"/>
      <c r="J41" s="3"/>
      <c r="K41" s="1"/>
      <c r="L41" s="1"/>
      <c r="M41" s="1"/>
    </row>
    <row r="42" spans="1:13" ht="23.1" customHeight="1">
      <c r="A42" s="16">
        <f>Modele_CW!A78</f>
        <v>45775</v>
      </c>
      <c r="B42" s="6">
        <f>Modele_CW!D78</f>
        <v>407.63</v>
      </c>
      <c r="C42" s="6">
        <f>Modele_CW!K78</f>
        <v>427.92621329981193</v>
      </c>
      <c r="D42" s="6">
        <f>Modele_CW!L78</f>
        <v>418.145037784745</v>
      </c>
      <c r="E42" s="3"/>
      <c r="F42" s="3"/>
      <c r="G42" s="3"/>
      <c r="H42" s="3"/>
      <c r="I42" s="3"/>
      <c r="J42" s="3"/>
      <c r="K42" s="1"/>
      <c r="L42" s="1"/>
      <c r="M42" s="1"/>
    </row>
    <row r="43" spans="1:13" ht="23.1" customHeight="1">
      <c r="A43" s="16">
        <f>Modele_CW!A79</f>
        <v>45782</v>
      </c>
      <c r="B43" s="6">
        <f>Modele_CW!D79</f>
        <v>405.95</v>
      </c>
      <c r="C43" s="6">
        <f>Modele_CW!K79</f>
        <v>386.95902249847211</v>
      </c>
      <c r="D43" s="6">
        <f>Modele_CW!L79</f>
        <v>403.30222844963066</v>
      </c>
      <c r="E43" s="3"/>
      <c r="F43" s="3"/>
      <c r="G43" s="3"/>
      <c r="H43" s="3"/>
      <c r="I43" s="3"/>
      <c r="J43" s="3"/>
      <c r="K43" s="1"/>
      <c r="L43" s="1"/>
      <c r="M43" s="1"/>
    </row>
    <row r="44" spans="1:13" ht="23.1" customHeight="1">
      <c r="A44" s="16">
        <f>Modele_CW!A80</f>
        <v>45789</v>
      </c>
      <c r="B44" s="6">
        <f>Modele_CW!D80</f>
        <v>311.29000000000002</v>
      </c>
      <c r="C44" s="6">
        <f>Modele_CW!K80</f>
        <v>301.74270778173076</v>
      </c>
      <c r="D44" s="6">
        <f>Modele_CW!L80</f>
        <v>306.37127855952252</v>
      </c>
      <c r="E44" s="3"/>
      <c r="F44" s="3"/>
      <c r="G44" s="3"/>
      <c r="H44" s="3"/>
      <c r="I44" s="3"/>
      <c r="J44" s="3"/>
      <c r="K44" s="1"/>
      <c r="L44" s="1"/>
      <c r="M44" s="1"/>
    </row>
    <row r="45" spans="1:13" ht="23.1" customHeight="1">
      <c r="A45" s="16">
        <f>Modele_CW!A81</f>
        <v>45796</v>
      </c>
      <c r="B45" s="6">
        <f>Modele_CW!D81</f>
        <v>294.45999999999998</v>
      </c>
      <c r="C45" s="6">
        <f>Modele_CW!K81</f>
        <v>301.98284993093284</v>
      </c>
      <c r="D45" s="6">
        <f>Modele_CW!L81</f>
        <v>306.06960911833352</v>
      </c>
      <c r="E45" s="3"/>
      <c r="F45" s="3"/>
      <c r="G45" s="3"/>
      <c r="H45" s="3"/>
      <c r="I45" s="3"/>
      <c r="J45" s="3"/>
      <c r="K45" s="1"/>
      <c r="L45" s="1"/>
      <c r="M45" s="1"/>
    </row>
    <row r="46" spans="1:13" ht="23.1" customHeight="1">
      <c r="A46" s="16">
        <f>Modele_CW!A82</f>
        <v>45803</v>
      </c>
      <c r="B46" s="6">
        <f>Modele_CW!D82</f>
        <v>223.14</v>
      </c>
      <c r="C46" s="6">
        <f>Modele_CW!K82</f>
        <v>266.26814512876547</v>
      </c>
      <c r="D46" s="6">
        <f>Modele_CW!L82</f>
        <v>238.412969234158</v>
      </c>
      <c r="E46" s="3"/>
      <c r="F46" s="3"/>
      <c r="G46" s="3"/>
      <c r="H46" s="3"/>
      <c r="I46" s="3"/>
      <c r="J46" s="3"/>
      <c r="K46" s="1"/>
      <c r="L46" s="1"/>
      <c r="M46" s="1"/>
    </row>
    <row r="47" spans="1:13" ht="23.1" customHeight="1">
      <c r="A47" s="16">
        <f>Modele_CW!A83</f>
        <v>45810</v>
      </c>
      <c r="B47" s="6">
        <f>Modele_CW!D83</f>
        <v>427.84</v>
      </c>
      <c r="C47" s="6">
        <f>Modele_CW!K83</f>
        <v>440.31419304562655</v>
      </c>
      <c r="D47" s="6">
        <f>Modele_CW!L83</f>
        <v>419.21040412397633</v>
      </c>
      <c r="E47" s="3"/>
      <c r="F47" s="3"/>
      <c r="G47" s="3"/>
      <c r="H47" s="3"/>
      <c r="I47" s="3"/>
      <c r="J47" s="3"/>
      <c r="K47" s="1"/>
      <c r="L47" s="1"/>
      <c r="M47" s="1"/>
    </row>
    <row r="48" spans="1:13" ht="23.1" customHeight="1">
      <c r="A48" s="16">
        <f>Modele_CW!A84</f>
        <v>45817</v>
      </c>
      <c r="B48" s="6">
        <f>Modele_CW!D84</f>
        <v>399.78</v>
      </c>
      <c r="C48" s="6">
        <f>Modele_CW!K84</f>
        <v>442.26185099794998</v>
      </c>
      <c r="D48" s="6">
        <f>Modele_CW!L84</f>
        <v>417.98868910457219</v>
      </c>
      <c r="E48" s="3"/>
      <c r="F48" s="3"/>
      <c r="G48" s="3"/>
      <c r="H48" s="3"/>
      <c r="I48" s="3"/>
      <c r="J48" s="3"/>
      <c r="K48" s="1"/>
      <c r="L48" s="1"/>
      <c r="M48" s="1"/>
    </row>
    <row r="49" spans="1:13" ht="23.1" customHeight="1">
      <c r="A49" s="16">
        <f>Modele_CW!A85</f>
        <v>45824</v>
      </c>
      <c r="B49" s="6">
        <f>Modele_CW!D85</f>
        <v>327.2</v>
      </c>
      <c r="C49" s="6">
        <f>Modele_CW!K85</f>
        <v>330.08996748222137</v>
      </c>
      <c r="D49" s="6">
        <f>Modele_CW!L85</f>
        <v>349.10470923540788</v>
      </c>
      <c r="E49" s="3"/>
      <c r="F49" s="3"/>
      <c r="G49" s="3"/>
      <c r="H49" s="3"/>
      <c r="I49" s="3"/>
      <c r="J49" s="3"/>
      <c r="K49" s="1"/>
      <c r="L49" s="1"/>
      <c r="M49" s="1"/>
    </row>
    <row r="50" spans="1:13" ht="23.1" customHeight="1">
      <c r="A50" s="16">
        <f>Modele_CW!A86</f>
        <v>45831</v>
      </c>
      <c r="B50" s="6">
        <f>Modele_CW!D86</f>
        <v>409.09</v>
      </c>
      <c r="C50" s="6">
        <f>Modele_CW!K86</f>
        <v>438.19242148016747</v>
      </c>
      <c r="D50" s="6">
        <f>Modele_CW!L86</f>
        <v>417.87576486142387</v>
      </c>
      <c r="E50" s="3"/>
      <c r="F50" s="3"/>
      <c r="G50" s="3"/>
      <c r="H50" s="3"/>
      <c r="I50" s="3"/>
      <c r="J50" s="3"/>
      <c r="K50" s="1"/>
      <c r="L50" s="1"/>
      <c r="M50" s="1"/>
    </row>
    <row r="51" spans="1:13" ht="23.1" customHeight="1">
      <c r="A51" s="16">
        <f>Modele_CW!A87</f>
        <v>45838</v>
      </c>
      <c r="B51" s="6">
        <f>Modele_CW!D87</f>
        <v>290.73</v>
      </c>
      <c r="C51" s="6">
        <f>Modele_CW!K87</f>
        <v>284.59684964380062</v>
      </c>
      <c r="D51" s="6">
        <f>Modele_CW!L87</f>
        <v>277.00117645146207</v>
      </c>
      <c r="E51" s="3"/>
      <c r="F51" s="3"/>
      <c r="G51" s="3"/>
      <c r="H51" s="3"/>
      <c r="I51" s="3"/>
      <c r="J51" s="3"/>
      <c r="K51" s="1"/>
      <c r="L51" s="1"/>
      <c r="M51" s="1"/>
    </row>
    <row r="52" spans="1:13" ht="23.1" customHeight="1">
      <c r="A52" s="16">
        <f>Modele_CW!A88</f>
        <v>45845</v>
      </c>
      <c r="B52" s="6">
        <f>Modele_CW!D88</f>
        <v>428.93</v>
      </c>
      <c r="C52" s="6">
        <f>Modele_CW!K88</f>
        <v>436.50518660295933</v>
      </c>
      <c r="D52" s="6">
        <f>Modele_CW!L88</f>
        <v>418.39128786013674</v>
      </c>
      <c r="E52" s="3"/>
      <c r="F52" s="3"/>
      <c r="G52" s="3"/>
      <c r="H52" s="3"/>
      <c r="I52" s="3"/>
      <c r="J52" s="3"/>
      <c r="K52" s="1"/>
      <c r="L52" s="1"/>
      <c r="M52" s="1"/>
    </row>
    <row r="53" spans="1:13" ht="23.1" customHeight="1">
      <c r="A53" s="16">
        <f>Modele_CW!A89</f>
        <v>45852</v>
      </c>
      <c r="B53" s="6">
        <f>Modele_CW!D89</f>
        <v>432.63</v>
      </c>
      <c r="C53" s="6">
        <f>Modele_CW!K89</f>
        <v>427.33754921485649</v>
      </c>
      <c r="D53" s="6">
        <f>Modele_CW!L89</f>
        <v>418.51969953465039</v>
      </c>
      <c r="E53" s="3"/>
      <c r="F53" s="3"/>
      <c r="G53" s="3"/>
      <c r="H53" s="3"/>
      <c r="I53" s="3"/>
      <c r="J53" s="3"/>
      <c r="K53" s="1"/>
      <c r="L53" s="1"/>
      <c r="M53" s="1"/>
    </row>
    <row r="54" spans="1:13" ht="23.1" customHeight="1">
      <c r="A54" s="16">
        <f>Modele_CW!A90</f>
        <v>45859</v>
      </c>
      <c r="B54" s="6">
        <f>Modele_CW!D90</f>
        <v>322.10000000000002</v>
      </c>
      <c r="C54" s="6">
        <f>Modele_CW!K90</f>
        <v>296.69468599687224</v>
      </c>
      <c r="D54" s="6">
        <f>Modele_CW!L90</f>
        <v>299.02004098387033</v>
      </c>
      <c r="E54" s="3"/>
      <c r="F54" s="3"/>
      <c r="G54" s="3"/>
      <c r="H54" s="3"/>
      <c r="I54" s="3"/>
      <c r="J54" s="3"/>
      <c r="K54" s="1"/>
      <c r="L54" s="1"/>
      <c r="M54" s="1"/>
    </row>
    <row r="55" spans="1:13" ht="23.1" customHeight="1">
      <c r="A55" s="16">
        <f>Modele_CW!A91</f>
        <v>45866</v>
      </c>
      <c r="B55" s="6">
        <f>Modele_CW!D91</f>
        <v>294.60000000000002</v>
      </c>
      <c r="C55" s="6">
        <f>Modele_CW!K91</f>
        <v>287.82747627913358</v>
      </c>
      <c r="D55" s="6">
        <f>Modele_CW!L91</f>
        <v>282.34668384292428</v>
      </c>
      <c r="E55" s="3"/>
      <c r="F55" s="3"/>
      <c r="G55" s="3"/>
      <c r="H55" s="3"/>
      <c r="I55" s="3"/>
      <c r="J55" s="3"/>
      <c r="K55" s="1"/>
      <c r="L55" s="1"/>
      <c r="M55" s="1"/>
    </row>
    <row r="56" spans="1:13" ht="23.1" customHeight="1">
      <c r="A56" s="16">
        <f>Modele_CW!A92</f>
        <v>45873</v>
      </c>
      <c r="B56" s="6">
        <f>Modele_CW!D92</f>
        <v>398.63</v>
      </c>
      <c r="C56" s="6">
        <f>Modele_CW!K92</f>
        <v>449.28190156679534</v>
      </c>
      <c r="D56" s="6">
        <f>Modele_CW!L92</f>
        <v>416.1389053446714</v>
      </c>
      <c r="E56" s="3"/>
      <c r="F56" s="3"/>
      <c r="G56" s="3"/>
      <c r="H56" s="3"/>
      <c r="I56" s="3"/>
      <c r="J56" s="3"/>
      <c r="K56" s="1"/>
      <c r="L56" s="1"/>
      <c r="M56" s="1"/>
    </row>
    <row r="57" spans="1:13" ht="23.1" customHeight="1">
      <c r="A57" s="16">
        <f>Modele_CW!A93</f>
        <v>45880</v>
      </c>
      <c r="B57" s="6">
        <f>Modele_CW!D93</f>
        <v>364.02</v>
      </c>
      <c r="C57" s="6">
        <f>Modele_CW!K93</f>
        <v>352.43887326940921</v>
      </c>
      <c r="D57" s="6">
        <f>Modele_CW!L93</f>
        <v>376.21137744791542</v>
      </c>
      <c r="E57" s="3"/>
      <c r="F57" s="3"/>
      <c r="G57" s="3"/>
      <c r="H57" s="3"/>
      <c r="I57" s="3"/>
      <c r="J57" s="3"/>
      <c r="K57" s="1"/>
      <c r="L57" s="1"/>
      <c r="M57" s="1"/>
    </row>
    <row r="58" spans="1:13" ht="23.1" customHeight="1">
      <c r="A58" s="16">
        <f>Modele_CW!A94</f>
        <v>45887</v>
      </c>
      <c r="B58" s="6">
        <f>Modele_CW!D94</f>
        <v>396.22</v>
      </c>
      <c r="C58" s="6">
        <f>Modele_CW!K94</f>
        <v>376.43257058641836</v>
      </c>
      <c r="D58" s="6">
        <f>Modele_CW!L94</f>
        <v>397.40444601664859</v>
      </c>
      <c r="E58" s="3"/>
      <c r="F58" s="3"/>
      <c r="G58" s="3"/>
      <c r="H58" s="3"/>
      <c r="I58" s="3"/>
      <c r="J58" s="3"/>
      <c r="K58" s="1"/>
      <c r="L58" s="1"/>
      <c r="M58" s="1"/>
    </row>
    <row r="59" spans="1:13" ht="23.1" customHeight="1">
      <c r="A59" s="16">
        <f>Modele_CW!A95</f>
        <v>45894</v>
      </c>
      <c r="B59" s="6">
        <f>Modele_CW!D95</f>
        <v>419.59</v>
      </c>
      <c r="C59" s="6">
        <f>Modele_CW!K95</f>
        <v>444.27524077086366</v>
      </c>
      <c r="D59" s="6">
        <f>Modele_CW!L95</f>
        <v>417.11303444563146</v>
      </c>
      <c r="E59" s="3"/>
      <c r="F59" s="3"/>
      <c r="G59" s="3"/>
      <c r="H59" s="3"/>
      <c r="I59" s="3"/>
      <c r="J59" s="3"/>
      <c r="K59" s="1"/>
      <c r="L59" s="1"/>
      <c r="M59" s="1"/>
    </row>
    <row r="60" spans="1:13" ht="23.1" customHeight="1">
      <c r="A60" s="16">
        <f>Modele_CW!A96</f>
        <v>45901</v>
      </c>
      <c r="B60" s="6">
        <f>Modele_CW!D96</f>
        <v>410.08</v>
      </c>
      <c r="C60" s="6">
        <f>Modele_CW!K96</f>
        <v>384.95446901951641</v>
      </c>
      <c r="D60" s="6">
        <f>Modele_CW!L96</f>
        <v>403.47822374817332</v>
      </c>
      <c r="E60" s="3"/>
      <c r="F60" s="3"/>
      <c r="G60" s="3"/>
      <c r="H60" s="3"/>
      <c r="I60" s="3"/>
      <c r="J60" s="3"/>
      <c r="K60" s="1"/>
      <c r="L60" s="1"/>
      <c r="M60" s="1"/>
    </row>
    <row r="61" spans="1:13" ht="23.1" customHeight="1">
      <c r="A61" s="16">
        <f>Modele_CW!A97</f>
        <v>45908</v>
      </c>
      <c r="B61" s="6">
        <f>Modele_CW!D97</f>
        <v>390.98</v>
      </c>
      <c r="C61" s="6">
        <f>Modele_CW!K97</f>
        <v>365.58231092487773</v>
      </c>
      <c r="D61" s="6">
        <f>Modele_CW!L97</f>
        <v>388.72222081141672</v>
      </c>
      <c r="E61" s="3"/>
      <c r="F61" s="3"/>
      <c r="G61" s="3"/>
      <c r="H61" s="3"/>
      <c r="I61" s="3"/>
      <c r="J61" s="3"/>
      <c r="K61" s="1"/>
      <c r="L61" s="1"/>
      <c r="M61" s="1"/>
    </row>
    <row r="62" spans="1:13" ht="23.1" customHeight="1">
      <c r="A62" s="16">
        <f>Modele_CW!A98</f>
        <v>45915</v>
      </c>
      <c r="B62" s="6">
        <f>Modele_CW!D98</f>
        <v>360.61</v>
      </c>
      <c r="C62" s="6">
        <f>Modele_CW!K98</f>
        <v>328.15136859627938</v>
      </c>
      <c r="D62" s="6">
        <f>Modele_CW!L98</f>
        <v>346.38672341295427</v>
      </c>
      <c r="E62" s="3"/>
      <c r="F62" s="3"/>
      <c r="G62" s="3"/>
      <c r="H62" s="3"/>
      <c r="I62" s="3"/>
      <c r="J62" s="3"/>
      <c r="K62" s="1"/>
      <c r="L62" s="1"/>
      <c r="M62" s="1"/>
    </row>
    <row r="63" spans="1:13" ht="23.1" customHeight="1">
      <c r="A63" s="16">
        <f>Modele_CW!A99</f>
        <v>45922</v>
      </c>
      <c r="B63" s="6">
        <f>Modele_CW!D99</f>
        <v>368.98</v>
      </c>
      <c r="C63" s="6">
        <f>Modele_CW!K99</f>
        <v>344.80195750170981</v>
      </c>
      <c r="D63" s="6">
        <f>Modele_CW!L99</f>
        <v>367.15336441819488</v>
      </c>
      <c r="E63" s="3"/>
      <c r="F63" s="3"/>
      <c r="G63" s="3"/>
      <c r="H63" s="3"/>
      <c r="I63" s="3"/>
      <c r="J63" s="3"/>
      <c r="K63" s="1"/>
      <c r="L63" s="1"/>
      <c r="M63" s="1"/>
    </row>
    <row r="64" spans="1:13" ht="23.1" customHeight="1">
      <c r="A64" s="16">
        <f>Modele_CW!A100</f>
        <v>45929</v>
      </c>
      <c r="B64" s="6">
        <f>Modele_CW!D100</f>
        <v>268.52</v>
      </c>
      <c r="C64" s="6">
        <f>Modele_CW!K100</f>
        <v>295.95401796688969</v>
      </c>
      <c r="D64" s="6">
        <f>Modele_CW!L100</f>
        <v>292.75867964872839</v>
      </c>
      <c r="E64" s="3"/>
      <c r="F64" s="3"/>
      <c r="G64" s="3"/>
      <c r="H64" s="3"/>
      <c r="I64" s="3"/>
      <c r="J64" s="3"/>
      <c r="K64" s="1"/>
      <c r="L64" s="1"/>
      <c r="M64" s="1"/>
    </row>
    <row r="65" spans="1:13" ht="23.1" customHeight="1">
      <c r="A65" s="16">
        <f>Modele_CW!A101</f>
        <v>45936</v>
      </c>
      <c r="B65" s="6">
        <f>Modele_CW!D101</f>
        <v>223.93</v>
      </c>
      <c r="C65" s="6">
        <f>Modele_CW!K101</f>
        <v>256.97682115771988</v>
      </c>
      <c r="D65" s="6">
        <f>Modele_CW!L101</f>
        <v>213.76645903454266</v>
      </c>
      <c r="E65" s="3"/>
      <c r="F65" s="3"/>
      <c r="G65" s="3"/>
      <c r="H65" s="3"/>
      <c r="I65" s="3"/>
      <c r="J65" s="3"/>
      <c r="K65" s="1"/>
      <c r="L65" s="1"/>
      <c r="M65" s="1"/>
    </row>
    <row r="66" spans="1:13" ht="23.1" customHeight="1">
      <c r="A66" s="16">
        <f>Modele_CW!A102</f>
        <v>45943</v>
      </c>
      <c r="B66" s="6">
        <f>Modele_CW!D102</f>
        <v>315.41000000000003</v>
      </c>
      <c r="C66" s="6">
        <f>Modele_CW!K102</f>
        <v>314.90481085162241</v>
      </c>
      <c r="D66" s="6">
        <f>Modele_CW!L102</f>
        <v>327.06716999708232</v>
      </c>
      <c r="E66" s="3"/>
      <c r="F66" s="3"/>
      <c r="G66" s="3"/>
      <c r="H66" s="3"/>
      <c r="I66" s="3"/>
      <c r="J66" s="3"/>
      <c r="K66" s="1"/>
      <c r="L66" s="1"/>
      <c r="M66" s="1"/>
    </row>
    <row r="67" spans="1:13" ht="23.1" customHeight="1">
      <c r="A67" s="16">
        <f>Modele_CW!A103</f>
        <v>45950</v>
      </c>
      <c r="B67" s="6">
        <f>Modele_CW!D103</f>
        <v>399.1</v>
      </c>
      <c r="C67" s="6">
        <f>Modele_CW!K103</f>
        <v>392.95718654563501</v>
      </c>
      <c r="D67" s="6">
        <f>Modele_CW!L103</f>
        <v>407.21959234475077</v>
      </c>
      <c r="E67" s="3"/>
      <c r="F67" s="3"/>
      <c r="G67" s="3"/>
      <c r="H67" s="3"/>
      <c r="I67" s="3"/>
      <c r="J67" s="3"/>
      <c r="K67" s="1"/>
      <c r="L67" s="1"/>
      <c r="M67" s="1"/>
    </row>
    <row r="68" spans="1:13" ht="23.1" customHeight="1">
      <c r="A68" s="16">
        <f>Modele_CW!A104</f>
        <v>45957</v>
      </c>
      <c r="B68" s="6">
        <f>Modele_CW!D104</f>
        <v>409.77</v>
      </c>
      <c r="C68" s="6">
        <f>Modele_CW!K104</f>
        <v>387.76209703052291</v>
      </c>
      <c r="D68" s="6">
        <f>Modele_CW!L104</f>
        <v>404.37228161114706</v>
      </c>
      <c r="E68" s="3"/>
      <c r="F68" s="3"/>
      <c r="G68" s="3"/>
      <c r="H68" s="3"/>
      <c r="I68" s="3"/>
      <c r="J68" s="3"/>
      <c r="K68" s="1"/>
      <c r="L68" s="1"/>
      <c r="M68" s="1"/>
    </row>
    <row r="69" spans="1:13" ht="23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23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36" customHeight="1">
      <c r="A71" s="33" t="s">
        <v>105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spans="1:13" ht="42" customHeight="1">
      <c r="A72" s="34" t="s">
        <v>62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spans="1:13" ht="23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42" customHeight="1">
      <c r="A74" s="33" t="s">
        <v>106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 spans="1:13" ht="23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33.950000000000003" customHeight="1">
      <c r="A76" s="33" t="s">
        <v>107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3" ht="23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23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23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23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3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23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23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23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23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23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23.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23.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23.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23.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23.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23.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23.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23.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23.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23.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23.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23.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23.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23.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23.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23.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23.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23.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23.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23.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23.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</sheetData>
  <mergeCells count="11">
    <mergeCell ref="A76:M76"/>
    <mergeCell ref="A6:M6"/>
    <mergeCell ref="A7:M7"/>
    <mergeCell ref="A71:M71"/>
    <mergeCell ref="A72:M72"/>
    <mergeCell ref="A74:M74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5A3B"/>
  </sheetPr>
  <dimension ref="A1:M122"/>
  <sheetViews>
    <sheetView showGridLines="0" tabSelected="1" workbookViewId="0">
      <pane ySplit="8" topLeftCell="A37" activePane="bottomLeft" state="frozen"/>
      <selection pane="bottomLeft" activeCell="M45" sqref="M45"/>
    </sheetView>
  </sheetViews>
  <sheetFormatPr defaultRowHeight="14.25"/>
  <cols>
    <col min="1" max="12" width="13" customWidth="1"/>
    <col min="13" max="13" width="14" customWidth="1"/>
  </cols>
  <sheetData>
    <row r="1" spans="1:13" ht="22.5" customHeight="1">
      <c r="A1" s="32" t="s">
        <v>108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2.5" customHeight="1">
      <c r="A2" s="33" t="s">
        <v>109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22.5" customHeight="1">
      <c r="A3" s="33" t="s">
        <v>110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ht="22.5" customHeight="1">
      <c r="A4" s="33" t="s">
        <v>111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22.5" customHeight="1">
      <c r="A5" s="33" t="s">
        <v>112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ht="22.5" customHeight="1">
      <c r="A6" s="33" t="s">
        <v>113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3" ht="22.5" customHeight="1">
      <c r="A7" s="33" t="s">
        <v>114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 ht="38.1" customHeight="1">
      <c r="A8" s="2" t="s">
        <v>80</v>
      </c>
      <c r="B8" s="2" t="s">
        <v>115</v>
      </c>
      <c r="C8" s="2" t="s">
        <v>117</v>
      </c>
      <c r="D8" s="2" t="s">
        <v>116</v>
      </c>
      <c r="E8" s="2" t="s">
        <v>118</v>
      </c>
      <c r="F8" s="38" t="s">
        <v>120</v>
      </c>
      <c r="G8" s="38" t="s">
        <v>119</v>
      </c>
      <c r="H8" s="39" t="s">
        <v>123</v>
      </c>
      <c r="I8" s="39" t="s">
        <v>122</v>
      </c>
      <c r="J8" s="39" t="s">
        <v>121</v>
      </c>
      <c r="K8" s="2" t="s">
        <v>82</v>
      </c>
      <c r="L8" s="2" t="s">
        <v>83</v>
      </c>
      <c r="M8" s="2" t="s">
        <v>124</v>
      </c>
    </row>
    <row r="9" spans="1:13" ht="23.1" customHeight="1">
      <c r="A9" s="16">
        <v>45292</v>
      </c>
      <c r="B9" s="6">
        <v>39.6</v>
      </c>
      <c r="C9" s="20">
        <f t="shared" ref="C9:C40" si="0">B9^2</f>
        <v>1568.16</v>
      </c>
      <c r="D9" s="6">
        <v>438.74</v>
      </c>
      <c r="E9" s="20"/>
      <c r="F9" s="21"/>
      <c r="G9" s="21"/>
      <c r="H9" s="21"/>
      <c r="I9" s="21"/>
      <c r="J9" s="21"/>
      <c r="K9" s="20"/>
      <c r="L9" s="20"/>
      <c r="M9" s="1" t="s">
        <v>125</v>
      </c>
    </row>
    <row r="10" spans="1:13" ht="23.1" customHeight="1">
      <c r="A10" s="16">
        <v>45299</v>
      </c>
      <c r="B10" s="6">
        <v>29.5</v>
      </c>
      <c r="C10" s="20">
        <f t="shared" si="0"/>
        <v>870.25</v>
      </c>
      <c r="D10" s="6">
        <v>419.88</v>
      </c>
      <c r="E10" s="20"/>
      <c r="F10" s="21"/>
      <c r="G10" s="21"/>
      <c r="H10" s="21"/>
      <c r="I10" s="21"/>
      <c r="J10" s="21"/>
      <c r="K10" s="20"/>
      <c r="L10" s="20"/>
      <c r="M10" s="1" t="s">
        <v>125</v>
      </c>
    </row>
    <row r="11" spans="1:13" ht="23.1" customHeight="1">
      <c r="A11" s="16">
        <v>45306</v>
      </c>
      <c r="B11" s="6">
        <v>9.1999999999999993</v>
      </c>
      <c r="C11" s="20">
        <f t="shared" si="0"/>
        <v>84.639999999999986</v>
      </c>
      <c r="D11" s="6">
        <v>205.4</v>
      </c>
      <c r="E11" s="20"/>
      <c r="F11" s="21"/>
      <c r="G11" s="21"/>
      <c r="H11" s="21"/>
      <c r="I11" s="21"/>
      <c r="J11" s="21"/>
      <c r="K11" s="20"/>
      <c r="L11" s="20"/>
      <c r="M11" s="1" t="s">
        <v>125</v>
      </c>
    </row>
    <row r="12" spans="1:13" ht="23.1" customHeight="1">
      <c r="A12" s="16">
        <v>45313</v>
      </c>
      <c r="B12" s="6">
        <v>37</v>
      </c>
      <c r="C12" s="20">
        <f t="shared" si="0"/>
        <v>1369</v>
      </c>
      <c r="D12" s="6">
        <v>405</v>
      </c>
      <c r="E12" s="20"/>
      <c r="F12" s="21"/>
      <c r="G12" s="21"/>
      <c r="H12" s="21"/>
      <c r="I12" s="21"/>
      <c r="J12" s="21"/>
      <c r="K12" s="20"/>
      <c r="L12" s="20"/>
      <c r="M12" s="1" t="s">
        <v>125</v>
      </c>
    </row>
    <row r="13" spans="1:13" ht="23.1" customHeight="1">
      <c r="A13" s="16">
        <v>45320</v>
      </c>
      <c r="B13" s="6">
        <v>15.7</v>
      </c>
      <c r="C13" s="20">
        <f t="shared" si="0"/>
        <v>246.48999999999998</v>
      </c>
      <c r="D13" s="6">
        <v>297.5</v>
      </c>
      <c r="E13" s="20"/>
      <c r="F13" s="21"/>
      <c r="G13" s="21"/>
      <c r="H13" s="21"/>
      <c r="I13" s="21"/>
      <c r="J13" s="21"/>
      <c r="K13" s="20"/>
      <c r="L13" s="20"/>
      <c r="M13" s="1" t="s">
        <v>125</v>
      </c>
    </row>
    <row r="14" spans="1:13" ht="23.1" customHeight="1">
      <c r="A14" s="16">
        <v>45327</v>
      </c>
      <c r="B14" s="6">
        <v>32.4</v>
      </c>
      <c r="C14" s="20">
        <f t="shared" si="0"/>
        <v>1049.76</v>
      </c>
      <c r="D14" s="6">
        <v>403.55</v>
      </c>
      <c r="E14" s="20"/>
      <c r="F14" s="21"/>
      <c r="G14" s="21"/>
      <c r="H14" s="21"/>
      <c r="I14" s="21"/>
      <c r="J14" s="21"/>
      <c r="K14" s="20"/>
      <c r="L14" s="20"/>
      <c r="M14" s="1" t="s">
        <v>125</v>
      </c>
    </row>
    <row r="15" spans="1:13" ht="23.1" customHeight="1">
      <c r="A15" s="16">
        <v>45334</v>
      </c>
      <c r="B15" s="6">
        <v>37.4</v>
      </c>
      <c r="C15" s="20">
        <f t="shared" si="0"/>
        <v>1398.76</v>
      </c>
      <c r="D15" s="6">
        <v>408.11</v>
      </c>
      <c r="E15" s="20"/>
      <c r="F15" s="21"/>
      <c r="G15" s="21"/>
      <c r="H15" s="21"/>
      <c r="I15" s="21"/>
      <c r="J15" s="21"/>
      <c r="K15" s="20"/>
      <c r="L15" s="20"/>
      <c r="M15" s="1" t="s">
        <v>125</v>
      </c>
    </row>
    <row r="16" spans="1:13" ht="23.1" customHeight="1">
      <c r="A16" s="16">
        <v>45341</v>
      </c>
      <c r="B16" s="6">
        <v>37.299999999999997</v>
      </c>
      <c r="C16" s="20">
        <f t="shared" si="0"/>
        <v>1391.2899999999997</v>
      </c>
      <c r="D16" s="6">
        <v>399.94</v>
      </c>
      <c r="E16" s="20"/>
      <c r="F16" s="21"/>
      <c r="G16" s="21"/>
      <c r="H16" s="21"/>
      <c r="I16" s="21"/>
      <c r="J16" s="21"/>
      <c r="K16" s="20"/>
      <c r="L16" s="20"/>
      <c r="M16" s="1" t="s">
        <v>125</v>
      </c>
    </row>
    <row r="17" spans="1:13" ht="23.1" customHeight="1">
      <c r="A17" s="16">
        <v>45348</v>
      </c>
      <c r="B17" s="6">
        <v>31.2</v>
      </c>
      <c r="C17" s="20">
        <f t="shared" si="0"/>
        <v>973.43999999999994</v>
      </c>
      <c r="D17" s="6">
        <v>410.02</v>
      </c>
      <c r="E17" s="20"/>
      <c r="F17" s="21"/>
      <c r="G17" s="21"/>
      <c r="H17" s="21"/>
      <c r="I17" s="21"/>
      <c r="J17" s="21"/>
      <c r="K17" s="20"/>
      <c r="L17" s="20"/>
      <c r="M17" s="1" t="s">
        <v>125</v>
      </c>
    </row>
    <row r="18" spans="1:13" ht="23.1" customHeight="1">
      <c r="A18" s="16">
        <v>45355</v>
      </c>
      <c r="B18" s="6">
        <v>20</v>
      </c>
      <c r="C18" s="20">
        <f t="shared" si="0"/>
        <v>400</v>
      </c>
      <c r="D18" s="6">
        <v>342.29</v>
      </c>
      <c r="E18" s="20"/>
      <c r="F18" s="21"/>
      <c r="G18" s="21"/>
      <c r="H18" s="21"/>
      <c r="I18" s="21"/>
      <c r="J18" s="21"/>
      <c r="K18" s="20"/>
      <c r="L18" s="20"/>
      <c r="M18" s="1" t="s">
        <v>125</v>
      </c>
    </row>
    <row r="19" spans="1:13" ht="23.1" customHeight="1">
      <c r="A19" s="16">
        <v>45362</v>
      </c>
      <c r="B19" s="6">
        <v>27.7</v>
      </c>
      <c r="C19" s="20">
        <f t="shared" si="0"/>
        <v>767.29</v>
      </c>
      <c r="D19" s="6">
        <v>390.7</v>
      </c>
      <c r="E19" s="20"/>
      <c r="F19" s="21"/>
      <c r="G19" s="21"/>
      <c r="H19" s="21"/>
      <c r="I19" s="21"/>
      <c r="J19" s="21"/>
      <c r="K19" s="20"/>
      <c r="L19" s="20"/>
      <c r="M19" s="1" t="s">
        <v>125</v>
      </c>
    </row>
    <row r="20" spans="1:13" ht="23.1" customHeight="1">
      <c r="A20" s="16">
        <v>45369</v>
      </c>
      <c r="B20" s="6">
        <v>40.5</v>
      </c>
      <c r="C20" s="20">
        <f t="shared" si="0"/>
        <v>1640.25</v>
      </c>
      <c r="D20" s="6">
        <v>419.88</v>
      </c>
      <c r="E20" s="20"/>
      <c r="F20" s="21"/>
      <c r="G20" s="21"/>
      <c r="H20" s="21"/>
      <c r="I20" s="21"/>
      <c r="J20" s="21"/>
      <c r="K20" s="20"/>
      <c r="L20" s="20"/>
      <c r="M20" s="1" t="s">
        <v>125</v>
      </c>
    </row>
    <row r="21" spans="1:13" ht="23.1" customHeight="1">
      <c r="A21" s="16">
        <v>45376</v>
      </c>
      <c r="B21" s="6">
        <v>29.6</v>
      </c>
      <c r="C21" s="20">
        <f t="shared" si="0"/>
        <v>876.16000000000008</v>
      </c>
      <c r="D21" s="6">
        <v>399.19</v>
      </c>
      <c r="E21" s="20"/>
      <c r="F21" s="21"/>
      <c r="G21" s="21"/>
      <c r="H21" s="21"/>
      <c r="I21" s="21"/>
      <c r="J21" s="21"/>
      <c r="K21" s="20"/>
      <c r="L21" s="20"/>
      <c r="M21" s="1" t="s">
        <v>125</v>
      </c>
    </row>
    <row r="22" spans="1:13" ht="23.1" customHeight="1">
      <c r="A22" s="16">
        <v>45383</v>
      </c>
      <c r="B22" s="6">
        <v>32.299999999999997</v>
      </c>
      <c r="C22" s="20">
        <f t="shared" si="0"/>
        <v>1043.2899999999997</v>
      </c>
      <c r="D22" s="6">
        <v>439.22</v>
      </c>
      <c r="E22" s="20"/>
      <c r="F22" s="21"/>
      <c r="G22" s="21"/>
      <c r="H22" s="21"/>
      <c r="I22" s="21"/>
      <c r="J22" s="21"/>
      <c r="K22" s="20"/>
      <c r="L22" s="20"/>
      <c r="M22" s="1" t="s">
        <v>125</v>
      </c>
    </row>
    <row r="23" spans="1:13" ht="23.1" customHeight="1">
      <c r="A23" s="16">
        <v>45390</v>
      </c>
      <c r="B23" s="6">
        <v>16.2</v>
      </c>
      <c r="C23" s="20">
        <f t="shared" si="0"/>
        <v>262.44</v>
      </c>
      <c r="D23" s="6">
        <v>293.47000000000003</v>
      </c>
      <c r="E23" s="20"/>
      <c r="F23" s="21"/>
      <c r="G23" s="21"/>
      <c r="H23" s="21"/>
      <c r="I23" s="21"/>
      <c r="J23" s="21"/>
      <c r="K23" s="20"/>
      <c r="L23" s="20"/>
      <c r="M23" s="1" t="s">
        <v>125</v>
      </c>
    </row>
    <row r="24" spans="1:13" ht="23.1" customHeight="1">
      <c r="A24" s="16">
        <v>45397</v>
      </c>
      <c r="B24" s="6">
        <v>11.2</v>
      </c>
      <c r="C24" s="20">
        <f t="shared" si="0"/>
        <v>125.43999999999998</v>
      </c>
      <c r="D24" s="6">
        <v>234.06</v>
      </c>
      <c r="E24" s="20"/>
      <c r="F24" s="21"/>
      <c r="G24" s="21"/>
      <c r="H24" s="21"/>
      <c r="I24" s="21"/>
      <c r="J24" s="21"/>
      <c r="K24" s="20"/>
      <c r="L24" s="20"/>
      <c r="M24" s="1" t="s">
        <v>125</v>
      </c>
    </row>
    <row r="25" spans="1:13" ht="23.1" customHeight="1">
      <c r="A25" s="16">
        <v>45404</v>
      </c>
      <c r="B25" s="6">
        <v>29.8</v>
      </c>
      <c r="C25" s="20">
        <f t="shared" si="0"/>
        <v>888.04000000000008</v>
      </c>
      <c r="D25" s="6">
        <v>407.49</v>
      </c>
      <c r="E25" s="20"/>
      <c r="F25" s="21"/>
      <c r="G25" s="21"/>
      <c r="H25" s="21"/>
      <c r="I25" s="21"/>
      <c r="J25" s="21"/>
      <c r="K25" s="20"/>
      <c r="L25" s="20"/>
      <c r="M25" s="1" t="s">
        <v>125</v>
      </c>
    </row>
    <row r="26" spans="1:13" ht="23.1" customHeight="1">
      <c r="A26" s="16">
        <v>45411</v>
      </c>
      <c r="B26" s="6">
        <v>19.3</v>
      </c>
      <c r="C26" s="20">
        <f t="shared" si="0"/>
        <v>372.49</v>
      </c>
      <c r="D26" s="6">
        <v>330.67</v>
      </c>
      <c r="E26" s="20"/>
      <c r="F26" s="21"/>
      <c r="G26" s="21"/>
      <c r="H26" s="21"/>
      <c r="I26" s="21"/>
      <c r="J26" s="21"/>
      <c r="K26" s="20"/>
      <c r="L26" s="20"/>
      <c r="M26" s="1" t="s">
        <v>125</v>
      </c>
    </row>
    <row r="27" spans="1:13" ht="23.1" customHeight="1">
      <c r="A27" s="16">
        <v>45418</v>
      </c>
      <c r="B27" s="6">
        <v>20.399999999999999</v>
      </c>
      <c r="C27" s="20">
        <f t="shared" si="0"/>
        <v>416.15999999999997</v>
      </c>
      <c r="D27" s="6">
        <v>340.82</v>
      </c>
      <c r="E27" s="20"/>
      <c r="F27" s="21"/>
      <c r="G27" s="21"/>
      <c r="H27" s="21"/>
      <c r="I27" s="21"/>
      <c r="J27" s="21"/>
      <c r="K27" s="20"/>
      <c r="L27" s="20"/>
      <c r="M27" s="1" t="s">
        <v>125</v>
      </c>
    </row>
    <row r="28" spans="1:13" ht="23.1" customHeight="1">
      <c r="A28" s="16">
        <v>45425</v>
      </c>
      <c r="B28" s="6">
        <v>22</v>
      </c>
      <c r="C28" s="20">
        <f t="shared" si="0"/>
        <v>484</v>
      </c>
      <c r="D28" s="6">
        <v>360.96</v>
      </c>
      <c r="E28" s="20"/>
      <c r="F28" s="21"/>
      <c r="G28" s="21"/>
      <c r="H28" s="21"/>
      <c r="I28" s="21"/>
      <c r="J28" s="21"/>
      <c r="K28" s="20"/>
      <c r="L28" s="20"/>
      <c r="M28" s="1" t="s">
        <v>125</v>
      </c>
    </row>
    <row r="29" spans="1:13" ht="23.1" customHeight="1">
      <c r="A29" s="16">
        <v>45432</v>
      </c>
      <c r="B29" s="6">
        <v>31.2</v>
      </c>
      <c r="C29" s="20">
        <f t="shared" si="0"/>
        <v>973.43999999999994</v>
      </c>
      <c r="D29" s="6">
        <v>397.39</v>
      </c>
      <c r="E29" s="20"/>
      <c r="F29" s="21"/>
      <c r="G29" s="21"/>
      <c r="H29" s="21"/>
      <c r="I29" s="21"/>
      <c r="J29" s="21"/>
      <c r="K29" s="20"/>
      <c r="L29" s="20"/>
      <c r="M29" s="1" t="s">
        <v>125</v>
      </c>
    </row>
    <row r="30" spans="1:13" ht="23.1" customHeight="1">
      <c r="A30" s="16">
        <v>45439</v>
      </c>
      <c r="B30" s="6">
        <v>40.4</v>
      </c>
      <c r="C30" s="20">
        <f t="shared" si="0"/>
        <v>1632.1599999999999</v>
      </c>
      <c r="D30" s="6">
        <v>428.58</v>
      </c>
      <c r="E30" s="20"/>
      <c r="F30" s="21"/>
      <c r="G30" s="21"/>
      <c r="H30" s="21"/>
      <c r="I30" s="21"/>
      <c r="J30" s="21"/>
      <c r="K30" s="20"/>
      <c r="L30" s="20"/>
      <c r="M30" s="1" t="s">
        <v>125</v>
      </c>
    </row>
    <row r="31" spans="1:13" ht="23.1" customHeight="1">
      <c r="A31" s="16">
        <v>45446</v>
      </c>
      <c r="B31" s="6">
        <v>20.399999999999999</v>
      </c>
      <c r="C31" s="20">
        <f t="shared" si="0"/>
        <v>416.15999999999997</v>
      </c>
      <c r="D31" s="6">
        <v>332.97</v>
      </c>
      <c r="E31" s="20"/>
      <c r="F31" s="21"/>
      <c r="G31" s="21"/>
      <c r="H31" s="21"/>
      <c r="I31" s="21"/>
      <c r="J31" s="21"/>
      <c r="K31" s="20"/>
      <c r="L31" s="20"/>
      <c r="M31" s="1" t="s">
        <v>125</v>
      </c>
    </row>
    <row r="32" spans="1:13" ht="23.1" customHeight="1">
      <c r="A32" s="16">
        <v>45453</v>
      </c>
      <c r="B32" s="6">
        <v>38</v>
      </c>
      <c r="C32" s="20">
        <f t="shared" si="0"/>
        <v>1444</v>
      </c>
      <c r="D32" s="6">
        <v>425.45</v>
      </c>
      <c r="E32" s="20"/>
      <c r="F32" s="21"/>
      <c r="G32" s="21"/>
      <c r="H32" s="21"/>
      <c r="I32" s="21"/>
      <c r="J32" s="21"/>
      <c r="K32" s="20"/>
      <c r="L32" s="20"/>
      <c r="M32" s="1" t="s">
        <v>125</v>
      </c>
    </row>
    <row r="33" spans="1:13" ht="23.1" customHeight="1">
      <c r="A33" s="16">
        <v>45460</v>
      </c>
      <c r="B33" s="6">
        <v>38.299999999999997</v>
      </c>
      <c r="C33" s="20">
        <f t="shared" si="0"/>
        <v>1466.8899999999999</v>
      </c>
      <c r="D33" s="6">
        <v>423.71</v>
      </c>
      <c r="E33" s="20"/>
      <c r="F33" s="21"/>
      <c r="G33" s="21"/>
      <c r="H33" s="21"/>
      <c r="I33" s="21"/>
      <c r="J33" s="21"/>
      <c r="K33" s="20"/>
      <c r="L33" s="20"/>
      <c r="M33" s="1" t="s">
        <v>125</v>
      </c>
    </row>
    <row r="34" spans="1:13" ht="23.1" customHeight="1">
      <c r="A34" s="16">
        <v>45467</v>
      </c>
      <c r="B34" s="6">
        <v>41.5</v>
      </c>
      <c r="C34" s="20">
        <f t="shared" si="0"/>
        <v>1722.25</v>
      </c>
      <c r="D34" s="6">
        <v>429.05</v>
      </c>
      <c r="E34" s="20"/>
      <c r="F34" s="21"/>
      <c r="G34" s="21"/>
      <c r="H34" s="21"/>
      <c r="I34" s="21"/>
      <c r="J34" s="21"/>
      <c r="K34" s="20"/>
      <c r="L34" s="20"/>
      <c r="M34" s="1" t="s">
        <v>125</v>
      </c>
    </row>
    <row r="35" spans="1:13" ht="23.1" customHeight="1">
      <c r="A35" s="16">
        <v>45474</v>
      </c>
      <c r="B35" s="6">
        <v>8.1</v>
      </c>
      <c r="C35" s="20">
        <f t="shared" si="0"/>
        <v>65.61</v>
      </c>
      <c r="D35" s="6">
        <v>231.82</v>
      </c>
      <c r="E35" s="20"/>
      <c r="F35" s="21"/>
      <c r="G35" s="21"/>
      <c r="H35" s="21"/>
      <c r="I35" s="21"/>
      <c r="J35" s="21"/>
      <c r="K35" s="20"/>
      <c r="L35" s="20"/>
      <c r="M35" s="1" t="s">
        <v>125</v>
      </c>
    </row>
    <row r="36" spans="1:13" ht="23.1" customHeight="1">
      <c r="A36" s="16">
        <v>45481</v>
      </c>
      <c r="B36" s="6">
        <v>23.5</v>
      </c>
      <c r="C36" s="20">
        <f t="shared" si="0"/>
        <v>552.25</v>
      </c>
      <c r="D36" s="6">
        <v>371.79</v>
      </c>
      <c r="E36" s="20"/>
      <c r="F36" s="21"/>
      <c r="G36" s="21"/>
      <c r="H36" s="21"/>
      <c r="I36" s="21"/>
      <c r="J36" s="21"/>
      <c r="K36" s="20"/>
      <c r="L36" s="20"/>
      <c r="M36" s="1" t="s">
        <v>125</v>
      </c>
    </row>
    <row r="37" spans="1:13" ht="23.1" customHeight="1">
      <c r="A37" s="16">
        <v>45488</v>
      </c>
      <c r="B37" s="6">
        <v>25.6</v>
      </c>
      <c r="C37" s="20">
        <f t="shared" si="0"/>
        <v>655.36000000000013</v>
      </c>
      <c r="D37" s="6">
        <v>384.67</v>
      </c>
      <c r="E37" s="20"/>
      <c r="F37" s="21"/>
      <c r="G37" s="21"/>
      <c r="H37" s="21"/>
      <c r="I37" s="21"/>
      <c r="J37" s="21"/>
      <c r="K37" s="20" t="s">
        <v>150</v>
      </c>
      <c r="L37" s="20" t="s">
        <v>151</v>
      </c>
      <c r="M37" s="1" t="s">
        <v>125</v>
      </c>
    </row>
    <row r="38" spans="1:13" ht="23.1" customHeight="1">
      <c r="A38" s="16">
        <v>45495</v>
      </c>
      <c r="B38" s="6">
        <v>20</v>
      </c>
      <c r="C38" s="20">
        <f t="shared" si="0"/>
        <v>400</v>
      </c>
      <c r="D38" s="6">
        <v>335.5</v>
      </c>
      <c r="E38" s="20"/>
      <c r="F38" s="21"/>
      <c r="G38" s="21"/>
      <c r="H38" s="21"/>
      <c r="I38" s="21"/>
      <c r="J38" s="21"/>
      <c r="K38" s="20"/>
      <c r="L38" s="20"/>
      <c r="M38" s="1" t="s">
        <v>125</v>
      </c>
    </row>
    <row r="39" spans="1:13" ht="23.1" customHeight="1">
      <c r="A39" s="16">
        <v>45502</v>
      </c>
      <c r="B39" s="6">
        <v>8.9</v>
      </c>
      <c r="C39" s="20">
        <f t="shared" si="0"/>
        <v>79.210000000000008</v>
      </c>
      <c r="D39" s="6">
        <v>205.33</v>
      </c>
      <c r="E39" s="20"/>
      <c r="F39" s="21"/>
      <c r="G39" s="21"/>
      <c r="H39" s="21"/>
      <c r="I39" s="21"/>
      <c r="J39" s="21"/>
      <c r="K39" s="20"/>
      <c r="L39" s="20"/>
      <c r="M39" s="1" t="s">
        <v>125</v>
      </c>
    </row>
    <row r="40" spans="1:13" ht="23.1" customHeight="1">
      <c r="A40" s="16">
        <v>45509</v>
      </c>
      <c r="B40" s="6">
        <v>14.2</v>
      </c>
      <c r="C40" s="20">
        <f t="shared" si="0"/>
        <v>201.64</v>
      </c>
      <c r="D40" s="6">
        <v>278.69</v>
      </c>
      <c r="E40" s="20"/>
      <c r="F40" s="21"/>
      <c r="G40" s="21"/>
      <c r="H40" s="21"/>
      <c r="I40" s="21"/>
      <c r="J40" s="21"/>
      <c r="K40" s="20"/>
      <c r="L40" s="20"/>
      <c r="M40" s="1" t="s">
        <v>125</v>
      </c>
    </row>
    <row r="41" spans="1:13" ht="23.1" customHeight="1">
      <c r="A41" s="16">
        <v>45516</v>
      </c>
      <c r="B41" s="6">
        <v>30</v>
      </c>
      <c r="C41" s="20">
        <f t="shared" ref="C41:C72" si="1">B41^2</f>
        <v>900</v>
      </c>
      <c r="D41" s="6">
        <v>393.47</v>
      </c>
      <c r="E41" s="20"/>
      <c r="F41" s="21"/>
      <c r="G41" s="21"/>
      <c r="H41" s="21"/>
      <c r="I41" s="21"/>
      <c r="J41" s="21"/>
      <c r="K41" s="20"/>
      <c r="L41" s="20"/>
      <c r="M41" s="1" t="s">
        <v>125</v>
      </c>
    </row>
    <row r="42" spans="1:13" ht="23.1" customHeight="1">
      <c r="A42" s="16">
        <v>45523</v>
      </c>
      <c r="B42" s="6">
        <v>18.5</v>
      </c>
      <c r="C42" s="20">
        <f t="shared" si="1"/>
        <v>342.25</v>
      </c>
      <c r="D42" s="6">
        <v>354.69</v>
      </c>
      <c r="E42" s="20"/>
      <c r="F42" s="21"/>
      <c r="G42" s="21"/>
      <c r="H42" s="21"/>
      <c r="I42" s="21"/>
      <c r="J42" s="21"/>
      <c r="K42" s="20"/>
      <c r="L42" s="20"/>
      <c r="M42" s="1" t="s">
        <v>125</v>
      </c>
    </row>
    <row r="43" spans="1:13" ht="23.1" customHeight="1">
      <c r="A43" s="16">
        <v>45530</v>
      </c>
      <c r="B43" s="6">
        <v>37.799999999999997</v>
      </c>
      <c r="C43" s="20">
        <f t="shared" si="1"/>
        <v>1428.8399999999997</v>
      </c>
      <c r="D43" s="6">
        <v>416.14</v>
      </c>
      <c r="E43" s="20"/>
      <c r="F43" s="21"/>
      <c r="G43" s="21"/>
      <c r="H43" s="21"/>
      <c r="I43" s="21"/>
      <c r="J43" s="21"/>
      <c r="K43" s="20"/>
      <c r="L43" s="20"/>
      <c r="M43" s="1" t="s">
        <v>125</v>
      </c>
    </row>
    <row r="44" spans="1:13" ht="23.1" customHeight="1">
      <c r="A44" s="16">
        <v>45537</v>
      </c>
      <c r="B44" s="6">
        <v>12.3</v>
      </c>
      <c r="C44" s="20">
        <f t="shared" si="1"/>
        <v>151.29000000000002</v>
      </c>
      <c r="D44" s="6">
        <v>259.58</v>
      </c>
      <c r="E44" s="20"/>
      <c r="F44" s="21"/>
      <c r="G44" s="21"/>
      <c r="H44" s="21"/>
      <c r="I44" s="21"/>
      <c r="J44" s="21"/>
      <c r="K44" s="20"/>
      <c r="L44" s="20"/>
      <c r="M44" s="1" t="s">
        <v>125</v>
      </c>
    </row>
    <row r="45" spans="1:13" ht="23.1" customHeight="1">
      <c r="A45" s="16">
        <v>45544</v>
      </c>
      <c r="B45" s="6">
        <v>22</v>
      </c>
      <c r="C45" s="20">
        <f t="shared" si="1"/>
        <v>484</v>
      </c>
      <c r="D45" s="6">
        <v>347.98</v>
      </c>
      <c r="E45" s="20">
        <f>COUNT($D$9:D44)</f>
        <v>36</v>
      </c>
      <c r="F45" s="21">
        <f t="array" ref="F45:G45">LINEST($D$9:D44,$B$9:B44,1,0)</f>
        <v>6.2423861673691396</v>
      </c>
      <c r="G45" s="21">
        <v>197.33834165281732</v>
      </c>
      <c r="H45" s="21">
        <f t="array" ref="H45:J45">LINEST($D$9:D45,$B$9:C45,1,0)</f>
        <v>-0.22733363102454116</v>
      </c>
      <c r="I45" s="21">
        <v>17.773531200390902</v>
      </c>
      <c r="J45" s="21">
        <v>74.763893937300281</v>
      </c>
      <c r="K45" s="20">
        <f>G45+F45*B45</f>
        <v>334.67083733493837</v>
      </c>
      <c r="L45" s="20">
        <f>J45+I45*B45+H45*C45</f>
        <v>355.7521029300222</v>
      </c>
      <c r="M45" s="1" t="s">
        <v>126</v>
      </c>
    </row>
    <row r="46" spans="1:13" ht="23.1" customHeight="1">
      <c r="A46" s="16">
        <v>45551</v>
      </c>
      <c r="B46" s="6">
        <v>24</v>
      </c>
      <c r="C46" s="20">
        <f t="shared" si="1"/>
        <v>576</v>
      </c>
      <c r="D46" s="6">
        <v>369.7</v>
      </c>
      <c r="E46" s="20">
        <f>COUNT($D$9:D45)</f>
        <v>37</v>
      </c>
      <c r="F46" s="21">
        <f t="array" ref="F46:G46">LINEST($D$9:D45,$B$9:B45,1,0)</f>
        <v>6.2275789860528601</v>
      </c>
      <c r="G46" s="21">
        <v>198.08583682472371</v>
      </c>
      <c r="H46" s="21">
        <f t="array" ref="H46:J46">LINEST($D$9:D46,$B$9:C46,1,0)</f>
        <v>-0.22712303067325826</v>
      </c>
      <c r="I46" s="21">
        <v>17.763210145753117</v>
      </c>
      <c r="J46" s="21">
        <v>74.850882550960932</v>
      </c>
      <c r="K46" s="20">
        <f>G46+F46*B46</f>
        <v>347.54773248999231</v>
      </c>
      <c r="L46" s="20">
        <f>J46+I46*B46+H46*C46</f>
        <v>370.34506038123897</v>
      </c>
      <c r="M46" s="1" t="s">
        <v>126</v>
      </c>
    </row>
    <row r="47" spans="1:13" ht="23.1" customHeight="1">
      <c r="A47" s="16">
        <v>45558</v>
      </c>
      <c r="B47" s="6">
        <v>8.6999999999999993</v>
      </c>
      <c r="C47" s="20">
        <f t="shared" si="1"/>
        <v>75.689999999999984</v>
      </c>
      <c r="D47" s="6">
        <v>224.08</v>
      </c>
      <c r="E47" s="20">
        <f>COUNT($D$9:D46)</f>
        <v>38</v>
      </c>
      <c r="F47" s="21">
        <f t="array" ref="F47:G47">LINEST($D$9:D46,$B$9:B46,1,0)</f>
        <v>6.2150541108014981</v>
      </c>
      <c r="G47" s="21">
        <v>198.99608599931875</v>
      </c>
      <c r="H47" s="21">
        <f t="array" ref="H47:J47">LINEST($D$9:D47,$B$9:C47,1,0)</f>
        <v>-0.22155370482871484</v>
      </c>
      <c r="I47" s="21">
        <v>17.434596928949563</v>
      </c>
      <c r="J47" s="21">
        <v>79.341070355970032</v>
      </c>
      <c r="K47" s="20">
        <f t="shared" ref="K47:K104" si="2">G47+F47*B47</f>
        <v>253.06705676329179</v>
      </c>
      <c r="L47" s="20">
        <f t="shared" ref="L47:L104" si="3">J47+I47*B47+H47*C47</f>
        <v>214.2526637193458</v>
      </c>
      <c r="M47" s="1" t="s">
        <v>126</v>
      </c>
    </row>
    <row r="48" spans="1:13" ht="23.1" customHeight="1">
      <c r="A48" s="16">
        <v>45565</v>
      </c>
      <c r="B48" s="6">
        <v>27.7</v>
      </c>
      <c r="C48" s="20">
        <f t="shared" si="1"/>
        <v>767.29</v>
      </c>
      <c r="D48" s="6">
        <v>383.09</v>
      </c>
      <c r="E48" s="20">
        <f>COUNT($D$9:D47)</f>
        <v>39</v>
      </c>
      <c r="F48" s="21">
        <f t="array" ref="F48:G48">LINEST($D$9:D47,$B$9:B47,1,0)</f>
        <v>6.3361364025044535</v>
      </c>
      <c r="G48" s="21">
        <v>195.14287604131505</v>
      </c>
      <c r="H48" s="21">
        <f t="array" ref="H48:J48">LINEST($D$9:D48,$B$9:C48,1,0)</f>
        <v>-0.21909821667276347</v>
      </c>
      <c r="I48" s="21">
        <v>17.307269468171537</v>
      </c>
      <c r="J48" s="21">
        <v>80.511909899697002</v>
      </c>
      <c r="K48" s="20">
        <f t="shared" si="2"/>
        <v>370.65385439068837</v>
      </c>
      <c r="L48" s="20">
        <f t="shared" si="3"/>
        <v>391.81140349720391</v>
      </c>
      <c r="M48" s="1" t="s">
        <v>126</v>
      </c>
    </row>
    <row r="49" spans="1:13" ht="23.1" customHeight="1">
      <c r="A49" s="16">
        <v>45572</v>
      </c>
      <c r="B49" s="6">
        <v>34.799999999999997</v>
      </c>
      <c r="C49" s="20">
        <f t="shared" si="1"/>
        <v>1211.0399999999997</v>
      </c>
      <c r="D49" s="6">
        <v>410.18</v>
      </c>
      <c r="E49" s="20">
        <f>COUNT($D$9:D48)</f>
        <v>40</v>
      </c>
      <c r="F49" s="21">
        <f t="array" ref="F49:G49">LINEST($D$9:D48,$B$9:B48,1,0)</f>
        <v>6.3421404810874291</v>
      </c>
      <c r="G49" s="21">
        <v>195.29926471921499</v>
      </c>
      <c r="H49" s="21">
        <f t="array" ref="H49:J49">LINEST($D$9:D49,$B$9:C49,1,0)</f>
        <v>-0.21896750467884191</v>
      </c>
      <c r="I49" s="21">
        <v>17.285198971952962</v>
      </c>
      <c r="J49" s="21">
        <v>80.80571876359005</v>
      </c>
      <c r="K49" s="20">
        <f t="shared" si="2"/>
        <v>416.00575346105751</v>
      </c>
      <c r="L49" s="20">
        <f t="shared" si="3"/>
        <v>417.15223612128847</v>
      </c>
      <c r="M49" s="1" t="s">
        <v>126</v>
      </c>
    </row>
    <row r="50" spans="1:13" ht="23.1" customHeight="1">
      <c r="A50" s="16">
        <v>45579</v>
      </c>
      <c r="B50" s="6">
        <v>19.100000000000001</v>
      </c>
      <c r="C50" s="20">
        <f t="shared" si="1"/>
        <v>364.81000000000006</v>
      </c>
      <c r="D50" s="6">
        <v>342.81</v>
      </c>
      <c r="E50" s="20">
        <f>COUNT($D$9:D49)</f>
        <v>41</v>
      </c>
      <c r="F50" s="21">
        <f t="array" ref="F50:G50">LINEST($D$9:D49,$B$9:B49,1,0)</f>
        <v>6.3297261669437015</v>
      </c>
      <c r="G50" s="21">
        <v>195.4794003204515</v>
      </c>
      <c r="H50" s="21">
        <f t="array" ref="H50:J50">LINEST($D$9:D50,$B$9:C50,1,0)</f>
        <v>-0.22107771701667431</v>
      </c>
      <c r="I50" s="21">
        <v>17.372280832579143</v>
      </c>
      <c r="J50" s="21">
        <v>80.453808024330868</v>
      </c>
      <c r="K50" s="20">
        <f t="shared" si="2"/>
        <v>316.37717010907625</v>
      </c>
      <c r="L50" s="20">
        <f t="shared" si="3"/>
        <v>331.61300998173954</v>
      </c>
      <c r="M50" s="1" t="s">
        <v>126</v>
      </c>
    </row>
    <row r="51" spans="1:13" ht="23.1" customHeight="1">
      <c r="A51" s="16">
        <v>45586</v>
      </c>
      <c r="B51" s="6">
        <v>11.9</v>
      </c>
      <c r="C51" s="20">
        <f t="shared" si="1"/>
        <v>141.61000000000001</v>
      </c>
      <c r="D51" s="6">
        <v>268.14999999999998</v>
      </c>
      <c r="E51" s="20">
        <f>COUNT($D$9:D50)</f>
        <v>42</v>
      </c>
      <c r="F51" s="21">
        <f t="array" ref="F51:G51">LINEST($D$9:D50,$B$9:B50,1,0)</f>
        <v>6.2875655940621424</v>
      </c>
      <c r="G51" s="21">
        <v>197.19619504648762</v>
      </c>
      <c r="H51" s="21">
        <f t="array" ref="H51:J51">LINEST($D$9:D51,$B$9:C51,1,0)</f>
        <v>-0.2187855316218672</v>
      </c>
      <c r="I51" s="21">
        <v>17.219887365781808</v>
      </c>
      <c r="J51" s="21">
        <v>82.899957260289312</v>
      </c>
      <c r="K51" s="20">
        <f t="shared" si="2"/>
        <v>272.01822561582713</v>
      </c>
      <c r="L51" s="20">
        <f t="shared" si="3"/>
        <v>256.83439778012024</v>
      </c>
      <c r="M51" s="1" t="s">
        <v>126</v>
      </c>
    </row>
    <row r="52" spans="1:13" ht="23.1" customHeight="1">
      <c r="A52" s="16">
        <v>45593</v>
      </c>
      <c r="B52" s="6">
        <v>14</v>
      </c>
      <c r="C52" s="20">
        <f t="shared" si="1"/>
        <v>196</v>
      </c>
      <c r="D52" s="6">
        <v>299.24</v>
      </c>
      <c r="E52" s="20">
        <f>COUNT($D$9:D51)</f>
        <v>43</v>
      </c>
      <c r="F52" s="21">
        <f t="array" ref="F52:G52">LINEST($D$9:D51,$B$9:B51,1,0)</f>
        <v>6.2995371114391743</v>
      </c>
      <c r="G52" s="21">
        <v>196.80132454771663</v>
      </c>
      <c r="H52" s="21">
        <f t="array" ref="H52:J52">LINEST($D$9:D52,$B$9:C52,1,0)</f>
        <v>-0.2179462228044913</v>
      </c>
      <c r="I52" s="21">
        <v>17.13297000030704</v>
      </c>
      <c r="J52" s="21">
        <v>84.883949402419887</v>
      </c>
      <c r="K52" s="20">
        <f t="shared" si="2"/>
        <v>284.99484410786511</v>
      </c>
      <c r="L52" s="20">
        <f t="shared" si="3"/>
        <v>282.02806973703815</v>
      </c>
      <c r="M52" s="1" t="s">
        <v>126</v>
      </c>
    </row>
    <row r="53" spans="1:13" ht="23.1" customHeight="1">
      <c r="A53" s="16">
        <v>45600</v>
      </c>
      <c r="B53" s="6">
        <v>19.3</v>
      </c>
      <c r="C53" s="20">
        <f t="shared" si="1"/>
        <v>372.49</v>
      </c>
      <c r="D53" s="6">
        <v>332.52</v>
      </c>
      <c r="E53" s="20">
        <f>COUNT($D$9:D52)</f>
        <v>44</v>
      </c>
      <c r="F53" s="21">
        <f t="array" ref="F53:G53">LINEST($D$9:D52,$B$9:B52,1,0)</f>
        <v>6.2641576315862633</v>
      </c>
      <c r="G53" s="21">
        <v>198.01696261464804</v>
      </c>
      <c r="H53" s="21">
        <f t="array" ref="H53:J53">LINEST($D$9:D53,$B$9:C53,1,0)</f>
        <v>-0.21760321893541085</v>
      </c>
      <c r="I53" s="21">
        <v>17.118181131142293</v>
      </c>
      <c r="J53" s="21">
        <v>84.963391464561994</v>
      </c>
      <c r="K53" s="20">
        <f t="shared" si="2"/>
        <v>318.91520490426291</v>
      </c>
      <c r="L53" s="20">
        <f t="shared" si="3"/>
        <v>334.28926427435704</v>
      </c>
      <c r="M53" s="1" t="s">
        <v>126</v>
      </c>
    </row>
    <row r="54" spans="1:13" ht="23.1" customHeight="1">
      <c r="A54" s="16">
        <v>45607</v>
      </c>
      <c r="B54" s="6">
        <v>22.7</v>
      </c>
      <c r="C54" s="20">
        <f t="shared" si="1"/>
        <v>515.29</v>
      </c>
      <c r="D54" s="6">
        <v>339.5</v>
      </c>
      <c r="E54" s="20">
        <f>COUNT($D$9:D53)</f>
        <v>45</v>
      </c>
      <c r="F54" s="21">
        <f t="array" ref="F54:G54">LINEST($D$9:D53,$B$9:B53,1,0)</f>
        <v>6.246871663202711</v>
      </c>
      <c r="G54" s="21">
        <v>198.75278506834974</v>
      </c>
      <c r="H54" s="21">
        <f t="array" ref="H54:J54">LINEST($D$9:D54,$B$9:C54,1,0)</f>
        <v>-0.21219460002009638</v>
      </c>
      <c r="I54" s="21">
        <v>16.858902936889862</v>
      </c>
      <c r="J54" s="21">
        <v>87.052878346844864</v>
      </c>
      <c r="K54" s="20">
        <f t="shared" si="2"/>
        <v>340.55677182305124</v>
      </c>
      <c r="L54" s="20">
        <f t="shared" si="3"/>
        <v>360.4082195698893</v>
      </c>
      <c r="M54" s="1" t="s">
        <v>126</v>
      </c>
    </row>
    <row r="55" spans="1:13" ht="23.1" customHeight="1">
      <c r="A55" s="16">
        <v>45614</v>
      </c>
      <c r="B55" s="6">
        <v>32.4</v>
      </c>
      <c r="C55" s="20">
        <f t="shared" si="1"/>
        <v>1049.76</v>
      </c>
      <c r="D55" s="6">
        <v>399.13</v>
      </c>
      <c r="E55" s="20">
        <f>COUNT($D$9:D54)</f>
        <v>46</v>
      </c>
      <c r="F55" s="21">
        <f t="array" ref="F55:G55">LINEST($D$9:D54,$B$9:B54,1,0)</f>
        <v>6.2474115716691676</v>
      </c>
      <c r="G55" s="21">
        <v>198.71629997161855</v>
      </c>
      <c r="H55" s="21">
        <f t="array" ref="H55:J55">LINEST($D$9:D55,$B$9:C55,1,0)</f>
        <v>-0.21091471598390402</v>
      </c>
      <c r="I55" s="21">
        <v>16.777128197326657</v>
      </c>
      <c r="J55" s="21">
        <v>87.932589235939162</v>
      </c>
      <c r="K55" s="20">
        <f t="shared" si="2"/>
        <v>401.13243489369961</v>
      </c>
      <c r="L55" s="20">
        <f t="shared" si="3"/>
        <v>410.10171057805974</v>
      </c>
      <c r="M55" s="1" t="s">
        <v>126</v>
      </c>
    </row>
    <row r="56" spans="1:13" ht="23.1" customHeight="1">
      <c r="A56" s="16">
        <v>45621</v>
      </c>
      <c r="B56" s="6">
        <v>33.700000000000003</v>
      </c>
      <c r="C56" s="20">
        <f t="shared" si="1"/>
        <v>1135.6900000000003</v>
      </c>
      <c r="D56" s="6">
        <v>417.93</v>
      </c>
      <c r="E56" s="20">
        <f>COUNT($D$9:D55)</f>
        <v>47</v>
      </c>
      <c r="F56" s="21">
        <f t="array" ref="F56:G56">LINEST($D$9:D55,$B$9:B55,1,0)</f>
        <v>6.2442740811226569</v>
      </c>
      <c r="G56" s="21">
        <v>198.7527063315579</v>
      </c>
      <c r="H56" s="21">
        <f t="array" ref="H56:J56">LINEST($D$9:D56,$B$9:C56,1,0)</f>
        <v>-0.2111429613324973</v>
      </c>
      <c r="I56" s="21">
        <v>16.795902916375081</v>
      </c>
      <c r="J56" s="21">
        <v>87.711781088331691</v>
      </c>
      <c r="K56" s="20">
        <f t="shared" si="2"/>
        <v>409.18474286539146</v>
      </c>
      <c r="L56" s="20">
        <f t="shared" si="3"/>
        <v>413.94075961446799</v>
      </c>
      <c r="M56" s="1" t="s">
        <v>126</v>
      </c>
    </row>
    <row r="57" spans="1:13" ht="23.1" customHeight="1">
      <c r="A57" s="16">
        <v>45628</v>
      </c>
      <c r="B57" s="6">
        <v>17.5</v>
      </c>
      <c r="C57" s="20">
        <f t="shared" si="1"/>
        <v>306.25</v>
      </c>
      <c r="D57" s="6">
        <v>323.52</v>
      </c>
      <c r="E57" s="20">
        <f>COUNT($D$9:D56)</f>
        <v>48</v>
      </c>
      <c r="F57" s="21">
        <f t="array" ref="F57:G57">LINEST($D$9:D56,$B$9:B56,1,0)</f>
        <v>6.2598673457802061</v>
      </c>
      <c r="G57" s="21">
        <v>198.53944749961985</v>
      </c>
      <c r="H57" s="21">
        <f t="array" ref="H57:J57">LINEST($D$9:D57,$B$9:C57,1,0)</f>
        <v>-0.21183738690385476</v>
      </c>
      <c r="I57" s="21">
        <v>16.819969001132332</v>
      </c>
      <c r="J57" s="21">
        <v>87.746965033316059</v>
      </c>
      <c r="K57" s="20">
        <f t="shared" si="2"/>
        <v>308.08712605077346</v>
      </c>
      <c r="L57" s="20">
        <f t="shared" si="3"/>
        <v>317.22122281382639</v>
      </c>
      <c r="M57" s="1" t="s">
        <v>126</v>
      </c>
    </row>
    <row r="58" spans="1:13" ht="23.1" customHeight="1">
      <c r="A58" s="16">
        <v>45635</v>
      </c>
      <c r="B58" s="6">
        <v>36.299999999999997</v>
      </c>
      <c r="C58" s="20">
        <f t="shared" si="1"/>
        <v>1317.6899999999998</v>
      </c>
      <c r="D58" s="6">
        <v>421.03</v>
      </c>
      <c r="E58" s="20">
        <f>COUNT($D$9:D57)</f>
        <v>49</v>
      </c>
      <c r="F58" s="21">
        <f t="array" ref="F58:G58">LINEST($D$9:D57,$B$9:B57,1,0)</f>
        <v>6.2347846827336699</v>
      </c>
      <c r="G58" s="21">
        <v>199.48648721960132</v>
      </c>
      <c r="H58" s="21">
        <f t="array" ref="H58:J58">LINEST($D$9:D58,$B$9:C58,1,0)</f>
        <v>-0.21169311118691905</v>
      </c>
      <c r="I58" s="21">
        <v>16.816901143149376</v>
      </c>
      <c r="J58" s="21">
        <v>87.754778216948978</v>
      </c>
      <c r="K58" s="20">
        <f t="shared" si="2"/>
        <v>425.80917120283351</v>
      </c>
      <c r="L58" s="20">
        <f t="shared" si="3"/>
        <v>419.26239403338002</v>
      </c>
      <c r="M58" s="1" t="s">
        <v>126</v>
      </c>
    </row>
    <row r="59" spans="1:13" ht="23.1" customHeight="1">
      <c r="A59" s="16">
        <v>45642</v>
      </c>
      <c r="B59" s="6">
        <v>20.2</v>
      </c>
      <c r="C59" s="20">
        <f t="shared" si="1"/>
        <v>408.03999999999996</v>
      </c>
      <c r="D59" s="6">
        <v>343.67</v>
      </c>
      <c r="E59" s="20">
        <f>COUNT($D$9:D58)</f>
        <v>50</v>
      </c>
      <c r="F59" s="21">
        <f t="array" ref="F59:G59">LINEST($D$9:D58,$B$9:B58,1,0)</f>
        <v>6.2240840894764293</v>
      </c>
      <c r="G59" s="21">
        <v>199.66293427733018</v>
      </c>
      <c r="H59" s="21">
        <f t="array" ref="H59:J59">LINEST($D$9:D59,$B$9:C59,1,0)</f>
        <v>-0.21217361013179156</v>
      </c>
      <c r="I59" s="21">
        <v>16.8382643984175</v>
      </c>
      <c r="J59" s="21">
        <v>87.618778663524523</v>
      </c>
      <c r="K59" s="20">
        <f t="shared" si="2"/>
        <v>325.38943288475406</v>
      </c>
      <c r="L59" s="20">
        <f t="shared" si="3"/>
        <v>341.17639963338178</v>
      </c>
      <c r="M59" s="1" t="s">
        <v>126</v>
      </c>
    </row>
    <row r="60" spans="1:13" ht="23.1" customHeight="1">
      <c r="A60" s="16">
        <v>45649</v>
      </c>
      <c r="B60" s="6">
        <v>13.6</v>
      </c>
      <c r="C60" s="20">
        <f t="shared" si="1"/>
        <v>184.95999999999998</v>
      </c>
      <c r="D60" s="6">
        <v>279.36</v>
      </c>
      <c r="E60" s="20">
        <f>COUNT($D$9:D59)</f>
        <v>51</v>
      </c>
      <c r="F60" s="21">
        <f t="array" ref="F60:G60">LINEST($D$9:D59,$B$9:B59,1,0)</f>
        <v>6.2049261273162299</v>
      </c>
      <c r="G60" s="21">
        <v>200.50644885875585</v>
      </c>
      <c r="H60" s="21">
        <f t="array" ref="H60:J60">LINEST($D$9:D60,$B$9:C60,1,0)</f>
        <v>-0.21200202431632403</v>
      </c>
      <c r="I60" s="21">
        <v>16.82513516569329</v>
      </c>
      <c r="J60" s="21">
        <v>87.861794061929601</v>
      </c>
      <c r="K60" s="20">
        <f t="shared" si="2"/>
        <v>284.89344419025656</v>
      </c>
      <c r="L60" s="20">
        <f t="shared" si="3"/>
        <v>277.47173789781101</v>
      </c>
      <c r="M60" s="1" t="s">
        <v>126</v>
      </c>
    </row>
    <row r="61" spans="1:13" ht="23.1" customHeight="1">
      <c r="A61" s="16">
        <v>45656</v>
      </c>
      <c r="B61" s="6">
        <v>30.5</v>
      </c>
      <c r="C61" s="20">
        <f t="shared" si="1"/>
        <v>930.25</v>
      </c>
      <c r="D61" s="6">
        <v>425.37</v>
      </c>
      <c r="E61" s="20">
        <f>COUNT($D$9:D60)</f>
        <v>52</v>
      </c>
      <c r="F61" s="21">
        <f t="array" ref="F61:G61">LINEST($D$9:D60,$B$9:B60,1,0)</f>
        <v>6.2175963677418853</v>
      </c>
      <c r="G61" s="21">
        <v>200.08208653333864</v>
      </c>
      <c r="H61" s="21">
        <f t="array" ref="H61:J61">LINEST($D$9:D61,$B$9:C61,1,0)</f>
        <v>-0.21553766991805051</v>
      </c>
      <c r="I61" s="21">
        <v>17.024440903008852</v>
      </c>
      <c r="J61" s="21">
        <v>85.828159560303732</v>
      </c>
      <c r="K61" s="20">
        <f t="shared" si="2"/>
        <v>389.71877574946615</v>
      </c>
      <c r="L61" s="20">
        <f t="shared" si="3"/>
        <v>404.56968966080728</v>
      </c>
      <c r="M61" s="1" t="s">
        <v>126</v>
      </c>
    </row>
    <row r="62" spans="1:13" ht="23.1" customHeight="1">
      <c r="A62" s="16">
        <v>45663</v>
      </c>
      <c r="B62" s="6">
        <v>12.5</v>
      </c>
      <c r="C62" s="20">
        <f t="shared" si="1"/>
        <v>156.25</v>
      </c>
      <c r="D62" s="6">
        <v>271.22000000000003</v>
      </c>
      <c r="E62" s="20">
        <f>COUNT($D$9:D61)</f>
        <v>53</v>
      </c>
      <c r="F62" s="21">
        <f t="array" ref="F62:G62">LINEST($D$9:D61,$B$9:B61,1,0)</f>
        <v>6.2550501264110601</v>
      </c>
      <c r="G62" s="21">
        <v>199.81105775831446</v>
      </c>
      <c r="H62" s="21">
        <f t="array" ref="H62:J62">LINEST($D$9:D62,$B$9:C62,1,0)</f>
        <v>-0.21463337218354195</v>
      </c>
      <c r="I62" s="21">
        <v>16.964396756638472</v>
      </c>
      <c r="J62" s="21">
        <v>86.792307545578922</v>
      </c>
      <c r="K62" s="20">
        <f t="shared" si="2"/>
        <v>277.99918433845272</v>
      </c>
      <c r="L62" s="20">
        <f t="shared" si="3"/>
        <v>265.31080259988136</v>
      </c>
      <c r="M62" s="1" t="s">
        <v>126</v>
      </c>
    </row>
    <row r="63" spans="1:13" ht="23.1" customHeight="1">
      <c r="A63" s="16">
        <v>45670</v>
      </c>
      <c r="B63" s="6">
        <v>31.6</v>
      </c>
      <c r="C63" s="20">
        <f t="shared" si="1"/>
        <v>998.56000000000006</v>
      </c>
      <c r="D63" s="6">
        <v>399</v>
      </c>
      <c r="E63" s="20">
        <f>COUNT($D$9:D62)</f>
        <v>54</v>
      </c>
      <c r="F63" s="21">
        <f t="array" ref="F63:G63">LINEST($D$9:D62,$B$9:B62,1,0)</f>
        <v>6.2712745506321879</v>
      </c>
      <c r="G63" s="21">
        <v>199.28053765190504</v>
      </c>
      <c r="H63" s="21">
        <f t="array" ref="H63:J63">LINEST($D$9:D63,$B$9:C63,1,0)</f>
        <v>-0.21343760610449142</v>
      </c>
      <c r="I63" s="21">
        <v>16.893051792917635</v>
      </c>
      <c r="J63" s="21">
        <v>87.541865942697541</v>
      </c>
      <c r="K63" s="20">
        <f t="shared" si="2"/>
        <v>397.45281345188221</v>
      </c>
      <c r="L63" s="20">
        <f t="shared" si="3"/>
        <v>408.2320466471939</v>
      </c>
      <c r="M63" s="1" t="s">
        <v>126</v>
      </c>
    </row>
    <row r="64" spans="1:13" ht="23.1" customHeight="1">
      <c r="A64" s="16">
        <v>45677</v>
      </c>
      <c r="B64" s="6">
        <v>37.299999999999997</v>
      </c>
      <c r="C64" s="20">
        <f t="shared" si="1"/>
        <v>1391.2899999999997</v>
      </c>
      <c r="D64" s="6">
        <v>410.04</v>
      </c>
      <c r="E64" s="20">
        <f>COUNT($D$9:D63)</f>
        <v>55</v>
      </c>
      <c r="F64" s="21">
        <f t="array" ref="F64:G64">LINEST($D$9:D63,$B$9:B63,1,0)</f>
        <v>6.2731954724864147</v>
      </c>
      <c r="G64" s="21">
        <v>199.26048810372706</v>
      </c>
      <c r="H64" s="21">
        <f t="array" ref="H64:J64">LINEST($D$9:D64,$B$9:C64,1,0)</f>
        <v>-0.21491701683620876</v>
      </c>
      <c r="I64" s="21">
        <v>16.943153482259245</v>
      </c>
      <c r="J64" s="21">
        <v>87.173476480505371</v>
      </c>
      <c r="K64" s="20">
        <f t="shared" si="2"/>
        <v>433.2506792274703</v>
      </c>
      <c r="L64" s="20">
        <f t="shared" si="3"/>
        <v>420.14120501472638</v>
      </c>
      <c r="M64" s="1" t="s">
        <v>126</v>
      </c>
    </row>
    <row r="65" spans="1:13" ht="23.1" customHeight="1">
      <c r="A65" s="16">
        <v>45684</v>
      </c>
      <c r="B65" s="6">
        <v>16.600000000000001</v>
      </c>
      <c r="C65" s="20">
        <f t="shared" si="1"/>
        <v>275.56000000000006</v>
      </c>
      <c r="D65" s="6">
        <v>301.68</v>
      </c>
      <c r="E65" s="20">
        <f>COUNT($D$9:D64)</f>
        <v>56</v>
      </c>
      <c r="F65" s="21">
        <f t="array" ref="F65:G65">LINEST($D$9:D64,$B$9:B64,1,0)</f>
        <v>6.2215838802806216</v>
      </c>
      <c r="G65" s="21">
        <v>200.15178497175739</v>
      </c>
      <c r="H65" s="21">
        <f t="array" ref="H65:J65">LINEST($D$9:D65,$B$9:C65,1,0)</f>
        <v>-0.21443347500882023</v>
      </c>
      <c r="I65" s="21">
        <v>16.930770674067563</v>
      </c>
      <c r="J65" s="21">
        <v>87.000615317495601</v>
      </c>
      <c r="K65" s="20">
        <f t="shared" si="2"/>
        <v>303.43007738441571</v>
      </c>
      <c r="L65" s="20">
        <f t="shared" si="3"/>
        <v>308.96212013358667</v>
      </c>
      <c r="M65" s="1" t="s">
        <v>126</v>
      </c>
    </row>
    <row r="66" spans="1:13" ht="23.1" customHeight="1">
      <c r="A66" s="16">
        <v>45691</v>
      </c>
      <c r="B66" s="6">
        <v>11.1</v>
      </c>
      <c r="C66" s="20">
        <f t="shared" si="1"/>
        <v>123.21</v>
      </c>
      <c r="D66" s="6">
        <v>256.27999999999997</v>
      </c>
      <c r="E66" s="20">
        <f>COUNT($D$9:D65)</f>
        <v>57</v>
      </c>
      <c r="F66" s="21">
        <f t="array" ref="F66:G66">LINEST($D$9:D65,$B$9:B65,1,0)</f>
        <v>6.2243180431570719</v>
      </c>
      <c r="G66" s="21">
        <v>200.05232485857286</v>
      </c>
      <c r="H66" s="21">
        <f t="array" ref="H66:J66">LINEST($D$9:D66,$B$9:C66,1,0)</f>
        <v>-0.2127213938529611</v>
      </c>
      <c r="I66" s="21">
        <v>16.826758791509373</v>
      </c>
      <c r="J66" s="21">
        <v>88.495814412092614</v>
      </c>
      <c r="K66" s="20">
        <f t="shared" si="2"/>
        <v>269.14225513761636</v>
      </c>
      <c r="L66" s="20">
        <f t="shared" si="3"/>
        <v>249.06343406122329</v>
      </c>
      <c r="M66" s="1" t="s">
        <v>126</v>
      </c>
    </row>
    <row r="67" spans="1:13" ht="23.1" customHeight="1">
      <c r="A67" s="16">
        <v>45698</v>
      </c>
      <c r="B67" s="6">
        <v>15.3</v>
      </c>
      <c r="C67" s="20">
        <f t="shared" si="1"/>
        <v>234.09000000000003</v>
      </c>
      <c r="D67" s="6">
        <v>280.13</v>
      </c>
      <c r="E67" s="20">
        <f>COUNT($D$9:D66)</f>
        <v>58</v>
      </c>
      <c r="F67" s="21">
        <f t="array" ref="F67:G67">LINEST($D$9:D66,$B$9:B66,1,0)</f>
        <v>6.2556628833122669</v>
      </c>
      <c r="G67" s="21">
        <v>199.04991319061085</v>
      </c>
      <c r="H67" s="21">
        <f t="array" ref="H67:J67">LINEST($D$9:D67,$B$9:C67,1,0)</f>
        <v>-0.21247736700336511</v>
      </c>
      <c r="I67" s="21">
        <v>16.840909837438911</v>
      </c>
      <c r="J67" s="21">
        <v>87.700975820956529</v>
      </c>
      <c r="K67" s="20">
        <f t="shared" si="2"/>
        <v>294.76155530528854</v>
      </c>
      <c r="L67" s="20">
        <f t="shared" si="3"/>
        <v>295.62806949195419</v>
      </c>
      <c r="M67" s="1" t="s">
        <v>126</v>
      </c>
    </row>
    <row r="68" spans="1:13" ht="23.1" customHeight="1">
      <c r="A68" s="16">
        <v>45705</v>
      </c>
      <c r="B68" s="6">
        <v>21.5</v>
      </c>
      <c r="C68" s="20">
        <f t="shared" si="1"/>
        <v>462.25</v>
      </c>
      <c r="D68" s="6">
        <v>349.86</v>
      </c>
      <c r="E68" s="20">
        <f>COUNT($D$9:D67)</f>
        <v>59</v>
      </c>
      <c r="F68" s="21">
        <f t="array" ref="F68:G68">LINEST($D$9:D67,$B$9:B67,1,0)</f>
        <v>6.2796667236389005</v>
      </c>
      <c r="G68" s="21">
        <v>198.20800875986328</v>
      </c>
      <c r="H68" s="21">
        <f t="array" ref="H68:J68">LINEST($D$9:D68,$B$9:C68,1,0)</f>
        <v>-0.21213517801714751</v>
      </c>
      <c r="I68" s="21">
        <v>16.824826531188162</v>
      </c>
      <c r="J68" s="21">
        <v>87.82821166620019</v>
      </c>
      <c r="K68" s="20">
        <f t="shared" si="2"/>
        <v>333.22084331809964</v>
      </c>
      <c r="L68" s="20">
        <f t="shared" si="3"/>
        <v>351.50249604831919</v>
      </c>
      <c r="M68" s="1" t="s">
        <v>126</v>
      </c>
    </row>
    <row r="69" spans="1:13" ht="23.1" customHeight="1">
      <c r="A69" s="16">
        <v>45712</v>
      </c>
      <c r="B69" s="6">
        <v>15.1</v>
      </c>
      <c r="C69" s="20">
        <f t="shared" si="1"/>
        <v>228.01</v>
      </c>
      <c r="D69" s="6">
        <v>308.64999999999998</v>
      </c>
      <c r="E69" s="20">
        <f>COUNT($D$9:D68)</f>
        <v>60</v>
      </c>
      <c r="F69" s="21">
        <f t="array" ref="F69:G69">LINEST($D$9:D68,$B$9:B68,1,0)</f>
        <v>6.2704659409357513</v>
      </c>
      <c r="G69" s="21">
        <v>198.71248002819789</v>
      </c>
      <c r="H69" s="21">
        <f t="array" ref="H69:J69">LINEST($D$9:D69,$B$9:C69,1,0)</f>
        <v>-0.21215445412152711</v>
      </c>
      <c r="I69" s="21">
        <v>16.801410696072324</v>
      </c>
      <c r="J69" s="21">
        <v>88.664208198365202</v>
      </c>
      <c r="K69" s="20">
        <f t="shared" si="2"/>
        <v>293.39651573632773</v>
      </c>
      <c r="L69" s="20">
        <f t="shared" si="3"/>
        <v>293.99217262480789</v>
      </c>
      <c r="M69" s="1" t="s">
        <v>126</v>
      </c>
    </row>
    <row r="70" spans="1:13" ht="23.1" customHeight="1">
      <c r="A70" s="16">
        <v>45719</v>
      </c>
      <c r="B70" s="6">
        <v>36</v>
      </c>
      <c r="C70" s="20">
        <f t="shared" si="1"/>
        <v>1296</v>
      </c>
      <c r="D70" s="6">
        <v>409.48</v>
      </c>
      <c r="E70" s="20">
        <f>COUNT($D$9:D69)</f>
        <v>61</v>
      </c>
      <c r="F70" s="21">
        <f t="array" ref="F70:G70">LINEST($D$9:D69,$B$9:B69,1,0)</f>
        <v>6.2459016049272602</v>
      </c>
      <c r="G70" s="21">
        <v>199.5651284981451</v>
      </c>
      <c r="H70" s="21">
        <f t="array" ref="H70:J70">LINEST($D$9:D70,$B$9:C70,1,0)</f>
        <v>-0.21272566480728888</v>
      </c>
      <c r="I70" s="21">
        <v>16.812738233732713</v>
      </c>
      <c r="J70" s="21">
        <v>88.641830888616681</v>
      </c>
      <c r="K70" s="20">
        <f t="shared" si="2"/>
        <v>424.41758627552645</v>
      </c>
      <c r="L70" s="20">
        <f t="shared" si="3"/>
        <v>418.20794571274797</v>
      </c>
      <c r="M70" s="1" t="s">
        <v>126</v>
      </c>
    </row>
    <row r="71" spans="1:13" ht="23.1" customHeight="1">
      <c r="A71" s="16">
        <v>45726</v>
      </c>
      <c r="B71" s="6">
        <v>14.9</v>
      </c>
      <c r="C71" s="20">
        <f t="shared" si="1"/>
        <v>222.01000000000002</v>
      </c>
      <c r="D71" s="6">
        <v>283.75</v>
      </c>
      <c r="E71" s="20">
        <f>COUNT($D$9:D70)</f>
        <v>62</v>
      </c>
      <c r="F71" s="21">
        <f t="array" ref="F71:G71">LINEST($D$9:D70,$B$9:B70,1,0)</f>
        <v>6.2177425868711529</v>
      </c>
      <c r="G71" s="21">
        <v>200.02018161094591</v>
      </c>
      <c r="H71" s="21">
        <f t="array" ref="H71:J71">LINEST($D$9:D71,$B$9:C71,1,0)</f>
        <v>-0.21279089308013352</v>
      </c>
      <c r="I71" s="21">
        <v>16.828973373828248</v>
      </c>
      <c r="J71" s="21">
        <v>88.158980194278371</v>
      </c>
      <c r="K71" s="20">
        <f t="shared" si="2"/>
        <v>292.66454615532609</v>
      </c>
      <c r="L71" s="20">
        <f t="shared" si="3"/>
        <v>291.66897729159882</v>
      </c>
      <c r="M71" s="1" t="s">
        <v>126</v>
      </c>
    </row>
    <row r="72" spans="1:13" ht="23.1" customHeight="1">
      <c r="A72" s="16">
        <v>45733</v>
      </c>
      <c r="B72" s="6">
        <v>35.1</v>
      </c>
      <c r="C72" s="20">
        <f t="shared" si="1"/>
        <v>1232.01</v>
      </c>
      <c r="D72" s="6">
        <v>413.4</v>
      </c>
      <c r="E72" s="20">
        <f>COUNT($D$9:D71)</f>
        <v>63</v>
      </c>
      <c r="F72" s="21">
        <f t="array" ref="F72:G72">LINEST($D$9:D71,$B$9:B71,1,0)</f>
        <v>6.2319052012527543</v>
      </c>
      <c r="G72" s="21">
        <v>199.5308425730415</v>
      </c>
      <c r="H72" s="21">
        <f t="array" ref="H72:J72">LINEST($D$9:D72,$B$9:C72,1,0)</f>
        <v>-0.21284673278369126</v>
      </c>
      <c r="I72" s="21">
        <v>16.82623141840493</v>
      </c>
      <c r="J72" s="21">
        <v>88.214820785350952</v>
      </c>
      <c r="K72" s="20">
        <f t="shared" si="2"/>
        <v>418.27071513701321</v>
      </c>
      <c r="L72" s="20">
        <f t="shared" si="3"/>
        <v>416.5862403145286</v>
      </c>
      <c r="M72" s="1" t="s">
        <v>126</v>
      </c>
    </row>
    <row r="73" spans="1:13" ht="23.1" customHeight="1">
      <c r="A73" s="16">
        <v>45740</v>
      </c>
      <c r="B73" s="6">
        <v>39.700000000000003</v>
      </c>
      <c r="C73" s="20">
        <f t="shared" ref="C73:C104" si="4">B73^2</f>
        <v>1576.0900000000001</v>
      </c>
      <c r="D73" s="6">
        <v>413.5</v>
      </c>
      <c r="E73" s="20">
        <f>COUNT($D$9:D72)</f>
        <v>64</v>
      </c>
      <c r="F73" s="21">
        <f t="array" ref="F73:G73">LINEST($D$9:D72,$B$9:B72,1,0)</f>
        <v>6.2237413892819964</v>
      </c>
      <c r="G73" s="21">
        <v>199.65658790000271</v>
      </c>
      <c r="H73" s="21">
        <f t="array" ref="H73:J73">LINEST($D$9:D73,$B$9:C73,1,0)</f>
        <v>-0.21477429492530972</v>
      </c>
      <c r="I73" s="21">
        <v>16.906113750658957</v>
      </c>
      <c r="J73" s="21">
        <v>87.500318818867242</v>
      </c>
      <c r="K73" s="20">
        <f t="shared" si="2"/>
        <v>446.73912105449801</v>
      </c>
      <c r="L73" s="20">
        <f t="shared" si="3"/>
        <v>420.16941623119635</v>
      </c>
      <c r="M73" s="1" t="s">
        <v>126</v>
      </c>
    </row>
    <row r="74" spans="1:13" ht="23.1" customHeight="1">
      <c r="A74" s="16">
        <v>45747</v>
      </c>
      <c r="B74" s="6">
        <v>13.4</v>
      </c>
      <c r="C74" s="20">
        <f t="shared" si="4"/>
        <v>179.56</v>
      </c>
      <c r="D74" s="6">
        <v>272.88</v>
      </c>
      <c r="E74" s="20">
        <f>COUNT($D$9:D73)</f>
        <v>65</v>
      </c>
      <c r="F74" s="21">
        <f t="array" ref="F74:G74">LINEST($D$9:D73,$B$9:B73,1,0)</f>
        <v>6.1472921057921246</v>
      </c>
      <c r="G74" s="21">
        <v>201.05303807991686</v>
      </c>
      <c r="H74" s="21">
        <f t="array" ref="H74:J74">LINEST($D$9:D74,$B$9:C74,1,0)</f>
        <v>-0.21498612997333361</v>
      </c>
      <c r="I74" s="21">
        <v>16.921229835883732</v>
      </c>
      <c r="J74" s="21">
        <v>87.237461894173663</v>
      </c>
      <c r="K74" s="20">
        <f t="shared" si="2"/>
        <v>283.42675229753132</v>
      </c>
      <c r="L74" s="20">
        <f t="shared" si="3"/>
        <v>275.37903219700388</v>
      </c>
      <c r="M74" s="1" t="s">
        <v>126</v>
      </c>
    </row>
    <row r="75" spans="1:13" ht="23.1" customHeight="1">
      <c r="A75" s="16">
        <v>45754</v>
      </c>
      <c r="B75" s="6">
        <v>24</v>
      </c>
      <c r="C75" s="20">
        <f t="shared" si="4"/>
        <v>576</v>
      </c>
      <c r="D75" s="6">
        <v>376.02</v>
      </c>
      <c r="E75" s="20">
        <f>COUNT($D$9:D74)</f>
        <v>66</v>
      </c>
      <c r="F75" s="21">
        <f t="array" ref="F75:G75">LINEST($D$9:D74,$B$9:B74,1,0)</f>
        <v>6.1656382364136038</v>
      </c>
      <c r="G75" s="21">
        <v>200.43861612644778</v>
      </c>
      <c r="H75" s="21">
        <f t="array" ref="H75:J75">LINEST($D$9:D75,$B$9:C75,1,0)</f>
        <v>-0.21639161144303021</v>
      </c>
      <c r="I75" s="21">
        <v>16.990796992468809</v>
      </c>
      <c r="J75" s="21">
        <v>86.610962478175878</v>
      </c>
      <c r="K75" s="20">
        <f t="shared" si="2"/>
        <v>348.41393380037425</v>
      </c>
      <c r="L75" s="20">
        <f t="shared" si="3"/>
        <v>369.74852210624186</v>
      </c>
      <c r="M75" s="1" t="s">
        <v>126</v>
      </c>
    </row>
    <row r="76" spans="1:13" ht="23.1" customHeight="1">
      <c r="A76" s="16">
        <v>45761</v>
      </c>
      <c r="B76" s="6">
        <v>39.6</v>
      </c>
      <c r="C76" s="20">
        <f t="shared" si="4"/>
        <v>1568.16</v>
      </c>
      <c r="D76" s="6">
        <v>408.64</v>
      </c>
      <c r="E76" s="20">
        <f>COUNT($D$9:D75)</f>
        <v>67</v>
      </c>
      <c r="F76" s="21">
        <f t="array" ref="F76:G76">LINEST($D$9:D75,$B$9:B75,1,0)</f>
        <v>6.162395071399426</v>
      </c>
      <c r="G76" s="21">
        <v>200.93097580615904</v>
      </c>
      <c r="H76" s="21">
        <f t="array" ref="H76:J76">LINEST($D$9:D76,$B$9:C76,1,0)</f>
        <v>-0.21912249600084427</v>
      </c>
      <c r="I76" s="21">
        <v>17.103334476411671</v>
      </c>
      <c r="J76" s="21">
        <v>85.606802559368418</v>
      </c>
      <c r="K76" s="20">
        <f t="shared" si="2"/>
        <v>444.96182063357628</v>
      </c>
      <c r="L76" s="20">
        <f t="shared" si="3"/>
        <v>419.27971449658668</v>
      </c>
      <c r="M76" s="1" t="s">
        <v>126</v>
      </c>
    </row>
    <row r="77" spans="1:13" ht="23.1" customHeight="1">
      <c r="A77" s="16">
        <v>45768</v>
      </c>
      <c r="B77" s="6">
        <v>38.700000000000003</v>
      </c>
      <c r="C77" s="20">
        <f t="shared" si="4"/>
        <v>1497.6900000000003</v>
      </c>
      <c r="D77" s="6">
        <v>417.93</v>
      </c>
      <c r="E77" s="20">
        <f>COUNT($D$9:D76)</f>
        <v>68</v>
      </c>
      <c r="F77" s="21">
        <f t="array" ref="F77:G77">LINEST($D$9:D76,$B$9:B76,1,0)</f>
        <v>6.0838727533117556</v>
      </c>
      <c r="G77" s="21">
        <v>202.35885007129414</v>
      </c>
      <c r="H77" s="21">
        <f t="array" ref="H77:J77">LINEST($D$9:D77,$B$9:C77,1,0)</f>
        <v>-0.21936474311986523</v>
      </c>
      <c r="I77" s="21">
        <v>17.112835624328621</v>
      </c>
      <c r="J77" s="21">
        <v>85.525288616801021</v>
      </c>
      <c r="K77" s="20">
        <f t="shared" si="2"/>
        <v>437.80472562445914</v>
      </c>
      <c r="L77" s="20">
        <f t="shared" si="3"/>
        <v>419.25164515512773</v>
      </c>
      <c r="M77" s="1" t="s">
        <v>126</v>
      </c>
    </row>
    <row r="78" spans="1:13" ht="23.1" customHeight="1">
      <c r="A78" s="16">
        <v>45775</v>
      </c>
      <c r="B78" s="6">
        <v>37.200000000000003</v>
      </c>
      <c r="C78" s="20">
        <f t="shared" si="4"/>
        <v>1383.8400000000001</v>
      </c>
      <c r="D78" s="6">
        <v>407.63</v>
      </c>
      <c r="E78" s="20">
        <f>COUNT($D$9:D77)</f>
        <v>69</v>
      </c>
      <c r="F78" s="21">
        <f t="array" ref="F78:G78">LINEST($D$9:D77,$B$9:B77,1,0)</f>
        <v>6.0451974881628727</v>
      </c>
      <c r="G78" s="21">
        <v>203.04486674015308</v>
      </c>
      <c r="H78" s="21">
        <f t="array" ref="H78:J78">LINEST($D$9:D78,$B$9:C78,1,0)</f>
        <v>-0.22032672108002707</v>
      </c>
      <c r="I78" s="21">
        <v>17.143179754840808</v>
      </c>
      <c r="J78" s="21">
        <v>85.315680604051636</v>
      </c>
      <c r="K78" s="20">
        <f t="shared" si="2"/>
        <v>427.92621329981193</v>
      </c>
      <c r="L78" s="20">
        <f t="shared" si="3"/>
        <v>418.145037784745</v>
      </c>
      <c r="M78" s="1" t="s">
        <v>126</v>
      </c>
    </row>
    <row r="79" spans="1:13" ht="23.1" customHeight="1">
      <c r="A79" s="16">
        <v>45782</v>
      </c>
      <c r="B79" s="6">
        <v>30.5</v>
      </c>
      <c r="C79" s="20">
        <f t="shared" si="4"/>
        <v>930.25</v>
      </c>
      <c r="D79" s="6">
        <v>405.95</v>
      </c>
      <c r="E79" s="20">
        <f>COUNT($D$9:D78)</f>
        <v>70</v>
      </c>
      <c r="F79" s="21">
        <f t="array" ref="F79:G79">LINEST($D$9:D78,$B$9:B78,1,0)</f>
        <v>6.0112821524806854</v>
      </c>
      <c r="G79" s="21">
        <v>203.61491684781123</v>
      </c>
      <c r="H79" s="21">
        <f t="array" ref="H79:J79">LINEST($D$9:D79,$B$9:C79,1,0)</f>
        <v>-0.2207438254067085</v>
      </c>
      <c r="I79" s="21">
        <v>17.166175106449067</v>
      </c>
      <c r="J79" s="21">
        <v>85.080831287524717</v>
      </c>
      <c r="K79" s="20">
        <f t="shared" si="2"/>
        <v>386.95902249847211</v>
      </c>
      <c r="L79" s="20">
        <f t="shared" si="3"/>
        <v>403.30222844963066</v>
      </c>
      <c r="M79" s="1" t="s">
        <v>126</v>
      </c>
    </row>
    <row r="80" spans="1:13" ht="23.1" customHeight="1">
      <c r="A80" s="16">
        <v>45789</v>
      </c>
      <c r="B80" s="6">
        <v>16.3</v>
      </c>
      <c r="C80" s="20">
        <f t="shared" si="4"/>
        <v>265.69</v>
      </c>
      <c r="D80" s="6">
        <v>311.29000000000002</v>
      </c>
      <c r="E80" s="20">
        <f>COUNT($D$9:D79)</f>
        <v>71</v>
      </c>
      <c r="F80" s="21">
        <f t="array" ref="F80:G80">LINEST($D$9:D79,$B$9:B79,1,0)</f>
        <v>6.0248191106095703</v>
      </c>
      <c r="G80" s="21">
        <v>203.53815627879476</v>
      </c>
      <c r="H80" s="21">
        <f t="array" ref="H80:J80">LINEST($D$9:D80,$B$9:C80,1,0)</f>
        <v>-0.22095525831627322</v>
      </c>
      <c r="I80" s="21">
        <v>17.170533570531077</v>
      </c>
      <c r="J80" s="21">
        <v>85.19718394191662</v>
      </c>
      <c r="K80" s="20">
        <f t="shared" si="2"/>
        <v>301.74270778173076</v>
      </c>
      <c r="L80" s="20">
        <f t="shared" si="3"/>
        <v>306.37127855952252</v>
      </c>
      <c r="M80" s="1" t="s">
        <v>126</v>
      </c>
    </row>
    <row r="81" spans="1:13" ht="23.1" customHeight="1">
      <c r="A81" s="16">
        <v>45796</v>
      </c>
      <c r="B81" s="6">
        <v>16.3</v>
      </c>
      <c r="C81" s="20">
        <f t="shared" si="4"/>
        <v>265.69</v>
      </c>
      <c r="D81" s="6">
        <v>294.45999999999998</v>
      </c>
      <c r="E81" s="20">
        <f>COUNT($D$9:D80)</f>
        <v>72</v>
      </c>
      <c r="F81" s="21">
        <f t="array" ref="F81:G81">LINEST($D$9:D80,$B$9:B80,1,0)</f>
        <v>6.0128738120531366</v>
      </c>
      <c r="G81" s="21">
        <v>203.97300679446673</v>
      </c>
      <c r="H81" s="21">
        <f t="array" ref="H81:J81">LINEST($D$9:D81,$B$9:C81,1,0)</f>
        <v>-0.22046918269356267</v>
      </c>
      <c r="I81" s="21">
        <v>17.160513639636275</v>
      </c>
      <c r="J81" s="21">
        <v>84.929693942114909</v>
      </c>
      <c r="K81" s="20">
        <f t="shared" si="2"/>
        <v>301.98284993093284</v>
      </c>
      <c r="L81" s="20">
        <f t="shared" si="3"/>
        <v>306.06960911833352</v>
      </c>
      <c r="M81" s="1" t="s">
        <v>126</v>
      </c>
    </row>
    <row r="82" spans="1:13" ht="23.1" customHeight="1">
      <c r="A82" s="16">
        <v>45803</v>
      </c>
      <c r="B82" s="6">
        <v>10.4</v>
      </c>
      <c r="C82" s="20">
        <f t="shared" si="4"/>
        <v>108.16000000000001</v>
      </c>
      <c r="D82" s="6">
        <v>223.14</v>
      </c>
      <c r="E82" s="20">
        <f>COUNT($D$9:D81)</f>
        <v>73</v>
      </c>
      <c r="F82" s="21">
        <f t="array" ref="F82:G82">LINEST($D$9:D81,$B$9:B81,1,0)</f>
        <v>6.0220552466402157</v>
      </c>
      <c r="G82" s="21">
        <v>203.6387705637072</v>
      </c>
      <c r="H82" s="21">
        <f t="array" ref="H82:J82">LINEST($D$9:D82,$B$9:C82,1,0)</f>
        <v>-0.2243673554775093</v>
      </c>
      <c r="I82" s="21">
        <v>17.388481467743389</v>
      </c>
      <c r="J82" s="21">
        <v>81.840335138074124</v>
      </c>
      <c r="K82" s="20">
        <f t="shared" si="2"/>
        <v>266.26814512876547</v>
      </c>
      <c r="L82" s="20">
        <f t="shared" si="3"/>
        <v>238.412969234158</v>
      </c>
      <c r="M82" s="1" t="s">
        <v>126</v>
      </c>
    </row>
    <row r="83" spans="1:13" ht="23.1" customHeight="1">
      <c r="A83" s="16">
        <v>45810</v>
      </c>
      <c r="B83" s="6">
        <v>39.200000000000003</v>
      </c>
      <c r="C83" s="20">
        <f t="shared" si="4"/>
        <v>1536.6400000000003</v>
      </c>
      <c r="D83" s="6">
        <v>427.84</v>
      </c>
      <c r="E83" s="20">
        <f>COUNT($D$9:D82)</f>
        <v>74</v>
      </c>
      <c r="F83" s="21">
        <f t="array" ref="F83:G83">LINEST($D$9:D82,$B$9:B82,1,0)</f>
        <v>6.105996660055462</v>
      </c>
      <c r="G83" s="21">
        <v>200.95912397145244</v>
      </c>
      <c r="H83" s="21">
        <f t="array" ref="H83:J83">LINEST($D$9:D83,$B$9:C83,1,0)</f>
        <v>-0.22266645712801453</v>
      </c>
      <c r="I83" s="21">
        <v>17.319332390122987</v>
      </c>
      <c r="J83" s="21">
        <v>82.450759112347612</v>
      </c>
      <c r="K83" s="20">
        <f t="shared" si="2"/>
        <v>440.31419304562655</v>
      </c>
      <c r="L83" s="20">
        <f t="shared" si="3"/>
        <v>419.21040412397633</v>
      </c>
      <c r="M83" s="1" t="s">
        <v>126</v>
      </c>
    </row>
    <row r="84" spans="1:13" ht="23.1" customHeight="1">
      <c r="A84" s="16">
        <v>45817</v>
      </c>
      <c r="B84" s="6">
        <v>39.6</v>
      </c>
      <c r="C84" s="20">
        <f t="shared" si="4"/>
        <v>1568.16</v>
      </c>
      <c r="D84" s="6">
        <v>399.78</v>
      </c>
      <c r="E84" s="20">
        <f>COUNT($D$9:D83)</f>
        <v>75</v>
      </c>
      <c r="F84" s="21">
        <f t="array" ref="F84:G84">LINEST($D$9:D83,$B$9:B83,1,0)</f>
        <v>6.0832383117862374</v>
      </c>
      <c r="G84" s="21">
        <v>201.36561385121496</v>
      </c>
      <c r="H84" s="21">
        <f t="array" ref="H84:J84">LINEST($D$9:D84,$B$9:C84,1,0)</f>
        <v>-0.22646852955862773</v>
      </c>
      <c r="I84" s="21">
        <v>17.477023204878115</v>
      </c>
      <c r="J84" s="21">
        <v>81.037459504056528</v>
      </c>
      <c r="K84" s="20">
        <f t="shared" si="2"/>
        <v>442.26185099794998</v>
      </c>
      <c r="L84" s="20">
        <f t="shared" si="3"/>
        <v>417.98868910457219</v>
      </c>
      <c r="M84" s="1" t="s">
        <v>126</v>
      </c>
    </row>
    <row r="85" spans="1:13" ht="23.1" customHeight="1">
      <c r="A85" s="16">
        <v>45824</v>
      </c>
      <c r="B85" s="6">
        <v>21.2</v>
      </c>
      <c r="C85" s="20">
        <f t="shared" si="4"/>
        <v>449.44</v>
      </c>
      <c r="D85" s="6">
        <v>327.2</v>
      </c>
      <c r="E85" s="20">
        <f>COUNT($D$9:D84)</f>
        <v>76</v>
      </c>
      <c r="F85" s="21">
        <f t="array" ref="F85:G85">LINEST($D$9:D84,$B$9:B84,1,0)</f>
        <v>6.0066196499562796</v>
      </c>
      <c r="G85" s="21">
        <v>202.74963090314824</v>
      </c>
      <c r="H85" s="21">
        <f t="array" ref="H85:J85">LINEST($D$9:D85,$B$9:C85,1,0)</f>
        <v>-0.22272310055089642</v>
      </c>
      <c r="I85" s="21">
        <v>17.298859384151203</v>
      </c>
      <c r="J85" s="21">
        <v>82.469560602997177</v>
      </c>
      <c r="K85" s="20">
        <f t="shared" si="2"/>
        <v>330.08996748222137</v>
      </c>
      <c r="L85" s="20">
        <f t="shared" si="3"/>
        <v>349.10470923540788</v>
      </c>
      <c r="M85" s="1" t="s">
        <v>126</v>
      </c>
    </row>
    <row r="86" spans="1:13" ht="23.1" customHeight="1">
      <c r="A86" s="16">
        <v>45831</v>
      </c>
      <c r="B86" s="6">
        <v>39.200000000000003</v>
      </c>
      <c r="C86" s="20">
        <f t="shared" si="4"/>
        <v>1536.6400000000003</v>
      </c>
      <c r="D86" s="6">
        <v>409.09</v>
      </c>
      <c r="E86" s="20">
        <f>COUNT($D$9:D85)</f>
        <v>77</v>
      </c>
      <c r="F86" s="21">
        <f t="array" ref="F86:G86">LINEST($D$9:D85,$B$9:B85,1,0)</f>
        <v>6.0081189400625163</v>
      </c>
      <c r="G86" s="21">
        <v>202.67415902971678</v>
      </c>
      <c r="H86" s="21">
        <f t="array" ref="H86:J86">LINEST($D$9:D86,$B$9:C86,1,0)</f>
        <v>-0.22424208994802267</v>
      </c>
      <c r="I86" s="21">
        <v>17.360435801229158</v>
      </c>
      <c r="J86" s="21">
        <v>81.926046550970426</v>
      </c>
      <c r="K86" s="20">
        <f t="shared" si="2"/>
        <v>438.19242148016747</v>
      </c>
      <c r="L86" s="20">
        <f t="shared" si="3"/>
        <v>417.87576486142387</v>
      </c>
      <c r="M86" s="1" t="s">
        <v>126</v>
      </c>
    </row>
    <row r="87" spans="1:13" ht="23.1" customHeight="1">
      <c r="A87" s="16">
        <v>45838</v>
      </c>
      <c r="B87" s="6">
        <v>13.6</v>
      </c>
      <c r="C87" s="20">
        <f t="shared" si="4"/>
        <v>184.95999999999998</v>
      </c>
      <c r="D87" s="6">
        <v>290.73</v>
      </c>
      <c r="E87" s="20">
        <f>COUNT($D$9:D86)</f>
        <v>78</v>
      </c>
      <c r="F87" s="21">
        <f t="array" ref="F87:G87">LINEST($D$9:D86,$B$9:B86,1,0)</f>
        <v>5.9588582671092425</v>
      </c>
      <c r="G87" s="21">
        <v>203.55637721111495</v>
      </c>
      <c r="H87" s="21">
        <f t="array" ref="H87:J87">LINEST($D$9:D87,$B$9:C87,1,0)</f>
        <v>-0.22330076383822228</v>
      </c>
      <c r="I87" s="21">
        <v>17.292441784690293</v>
      </c>
      <c r="J87" s="21">
        <v>83.125677459191678</v>
      </c>
      <c r="K87" s="20">
        <f t="shared" si="2"/>
        <v>284.59684964380062</v>
      </c>
      <c r="L87" s="20">
        <f t="shared" si="3"/>
        <v>277.00117645146207</v>
      </c>
      <c r="M87" s="1" t="s">
        <v>126</v>
      </c>
    </row>
    <row r="88" spans="1:13" ht="23.1" customHeight="1">
      <c r="A88" s="16">
        <v>45845</v>
      </c>
      <c r="B88" s="6">
        <v>39.1</v>
      </c>
      <c r="C88" s="20">
        <f t="shared" si="4"/>
        <v>1528.8100000000002</v>
      </c>
      <c r="D88" s="6">
        <v>428.93</v>
      </c>
      <c r="E88" s="20">
        <f>COUNT($D$9:D87)</f>
        <v>79</v>
      </c>
      <c r="F88" s="21">
        <f t="array" ref="F88:G88">LINEST($D$9:D87,$B$9:B87,1,0)</f>
        <v>5.950128486239227</v>
      </c>
      <c r="G88" s="21">
        <v>203.85516279100554</v>
      </c>
      <c r="H88" s="21">
        <f t="array" ref="H88:J88">LINEST($D$9:D88,$B$9:C88,1,0)</f>
        <v>-0.22162436739969671</v>
      </c>
      <c r="I88" s="21">
        <v>17.224892350096173</v>
      </c>
      <c r="J88" s="21">
        <v>83.719546095706704</v>
      </c>
      <c r="K88" s="20">
        <f t="shared" si="2"/>
        <v>436.50518660295933</v>
      </c>
      <c r="L88" s="20">
        <f t="shared" si="3"/>
        <v>418.39128786013674</v>
      </c>
      <c r="M88" s="1" t="s">
        <v>126</v>
      </c>
    </row>
    <row r="89" spans="1:13" ht="23.1" customHeight="1">
      <c r="A89" s="16">
        <v>45852</v>
      </c>
      <c r="B89" s="6">
        <v>37.6</v>
      </c>
      <c r="C89" s="20">
        <f t="shared" si="4"/>
        <v>1413.7600000000002</v>
      </c>
      <c r="D89" s="6">
        <v>432.63</v>
      </c>
      <c r="E89" s="20">
        <f>COUNT($D$9:D88)</f>
        <v>80</v>
      </c>
      <c r="F89" s="21">
        <f t="array" ref="F89:G89">LINEST($D$9:D88,$B$9:B88,1,0)</f>
        <v>5.9379122955648151</v>
      </c>
      <c r="G89" s="21">
        <v>204.07204690161944</v>
      </c>
      <c r="H89" s="21">
        <f t="array" ref="H89:J89">LINEST($D$9:D89,$B$9:C89,1,0)</f>
        <v>-0.2205113980360946</v>
      </c>
      <c r="I89" s="21">
        <v>17.188454995301672</v>
      </c>
      <c r="J89" s="21">
        <v>83.983985798816718</v>
      </c>
      <c r="K89" s="20">
        <f t="shared" si="2"/>
        <v>427.33754921485649</v>
      </c>
      <c r="L89" s="20">
        <f t="shared" si="3"/>
        <v>418.51969953465039</v>
      </c>
      <c r="M89" s="1" t="s">
        <v>126</v>
      </c>
    </row>
    <row r="90" spans="1:13" ht="23.1" customHeight="1">
      <c r="A90" s="16">
        <v>45859</v>
      </c>
      <c r="B90" s="6">
        <v>15.6</v>
      </c>
      <c r="C90" s="20">
        <f t="shared" si="4"/>
        <v>243.35999999999999</v>
      </c>
      <c r="D90" s="6">
        <v>322.10000000000002</v>
      </c>
      <c r="E90" s="20">
        <f>COUNT($D$9:D89)</f>
        <v>81</v>
      </c>
      <c r="F90" s="21">
        <f t="array" ref="F90:G90">LINEST($D$9:D89,$B$9:B89,1,0)</f>
        <v>5.9452854055173843</v>
      </c>
      <c r="G90" s="21">
        <v>203.94823367080105</v>
      </c>
      <c r="H90" s="21">
        <f t="array" ref="H90:J90">LINEST($D$9:D90,$B$9:C90,1,0)</f>
        <v>-0.22085816693039328</v>
      </c>
      <c r="I90" s="21">
        <v>17.179072948896422</v>
      </c>
      <c r="J90" s="21">
        <v>84.774546485266598</v>
      </c>
      <c r="K90" s="20">
        <f t="shared" si="2"/>
        <v>296.69468599687224</v>
      </c>
      <c r="L90" s="20">
        <f t="shared" si="3"/>
        <v>299.02004098387033</v>
      </c>
      <c r="M90" s="1" t="s">
        <v>126</v>
      </c>
    </row>
    <row r="91" spans="1:13" ht="23.1" customHeight="1">
      <c r="A91" s="16">
        <v>45866</v>
      </c>
      <c r="B91" s="6">
        <v>14</v>
      </c>
      <c r="C91" s="20">
        <f t="shared" si="4"/>
        <v>196</v>
      </c>
      <c r="D91" s="6">
        <v>294.60000000000002</v>
      </c>
      <c r="E91" s="20">
        <f>COUNT($D$9:D90)</f>
        <v>82</v>
      </c>
      <c r="F91" s="21">
        <f t="array" ref="F91:G91">LINEST($D$9:D90,$B$9:B90,1,0)</f>
        <v>5.9161981230023803</v>
      </c>
      <c r="G91" s="21">
        <v>205.00070255710025</v>
      </c>
      <c r="H91" s="21">
        <f t="array" ref="H91:J91">LINEST($D$9:D91,$B$9:C91,1,0)</f>
        <v>-0.22025084167203557</v>
      </c>
      <c r="I91" s="21">
        <v>17.131812531548292</v>
      </c>
      <c r="J91" s="21">
        <v>85.67047336896718</v>
      </c>
      <c r="K91" s="20">
        <f t="shared" si="2"/>
        <v>287.82747627913358</v>
      </c>
      <c r="L91" s="20">
        <f t="shared" si="3"/>
        <v>282.34668384292428</v>
      </c>
      <c r="M91" s="1" t="s">
        <v>126</v>
      </c>
    </row>
    <row r="92" spans="1:13" ht="23.1" customHeight="1">
      <c r="A92" s="16">
        <v>45873</v>
      </c>
      <c r="B92" s="6">
        <v>41.3</v>
      </c>
      <c r="C92" s="20">
        <f t="shared" si="4"/>
        <v>1705.6899999999998</v>
      </c>
      <c r="D92" s="6">
        <v>398.63</v>
      </c>
      <c r="E92" s="20">
        <f>COUNT($D$9:D91)</f>
        <v>83</v>
      </c>
      <c r="F92" s="21">
        <f t="array" ref="F92:G92">LINEST($D$9:D91,$B$9:B91,1,0)</f>
        <v>5.9074360600197009</v>
      </c>
      <c r="G92" s="21">
        <v>205.30479228798168</v>
      </c>
      <c r="H92" s="21">
        <f t="array" ref="H92:J92">LINEST($D$9:D92,$B$9:C92,1,0)</f>
        <v>-0.22498018483179522</v>
      </c>
      <c r="I92" s="21">
        <v>17.341199708557035</v>
      </c>
      <c r="J92" s="21">
        <v>83.693808847010757</v>
      </c>
      <c r="K92" s="20">
        <f t="shared" si="2"/>
        <v>449.28190156679534</v>
      </c>
      <c r="L92" s="20">
        <f t="shared" si="3"/>
        <v>416.1389053446714</v>
      </c>
      <c r="M92" s="1" t="s">
        <v>126</v>
      </c>
    </row>
    <row r="93" spans="1:13" ht="23.1" customHeight="1">
      <c r="A93" s="16">
        <v>45880</v>
      </c>
      <c r="B93" s="6">
        <v>25</v>
      </c>
      <c r="C93" s="20">
        <f t="shared" si="4"/>
        <v>625</v>
      </c>
      <c r="D93" s="6">
        <v>364.02</v>
      </c>
      <c r="E93" s="20">
        <f>COUNT($D$9:D92)</f>
        <v>84</v>
      </c>
      <c r="F93" s="21">
        <f t="array" ref="F93:G93">LINEST($D$9:D92,$B$9:B92,1,0)</f>
        <v>5.8195224001970285</v>
      </c>
      <c r="G93" s="21">
        <v>206.95081326448349</v>
      </c>
      <c r="H93" s="21">
        <f t="array" ref="H93:J93">LINEST($D$9:D93,$B$9:C93,1,0)</f>
        <v>-0.22261409886023883</v>
      </c>
      <c r="I93" s="21">
        <v>17.220811496635172</v>
      </c>
      <c r="J93" s="21">
        <v>84.82490181968538</v>
      </c>
      <c r="K93" s="20">
        <f t="shared" si="2"/>
        <v>352.43887326940921</v>
      </c>
      <c r="L93" s="20">
        <f t="shared" si="3"/>
        <v>376.21137744791542</v>
      </c>
      <c r="M93" s="1" t="s">
        <v>126</v>
      </c>
    </row>
    <row r="94" spans="1:13" ht="23.1" customHeight="1">
      <c r="A94" s="16">
        <v>45887</v>
      </c>
      <c r="B94" s="6">
        <v>29.1</v>
      </c>
      <c r="C94" s="20">
        <f t="shared" si="4"/>
        <v>846.81000000000006</v>
      </c>
      <c r="D94" s="6">
        <v>396.22</v>
      </c>
      <c r="E94" s="20">
        <f>COUNT($D$9:D93)</f>
        <v>85</v>
      </c>
      <c r="F94" s="21">
        <f t="array" ref="F94:G94">LINEST($D$9:D93,$B$9:B93,1,0)</f>
        <v>5.8187867151053236</v>
      </c>
      <c r="G94" s="21">
        <v>207.10587717685345</v>
      </c>
      <c r="H94" s="21">
        <f t="array" ref="H94:J94">LINEST($D$9:D94,$B$9:C94,1,0)</f>
        <v>-0.22241628637762748</v>
      </c>
      <c r="I94" s="21">
        <v>17.210218792901337</v>
      </c>
      <c r="J94" s="21">
        <v>84.931414610658408</v>
      </c>
      <c r="K94" s="20">
        <f t="shared" si="2"/>
        <v>376.43257058641836</v>
      </c>
      <c r="L94" s="20">
        <f t="shared" si="3"/>
        <v>397.40444601664859</v>
      </c>
      <c r="M94" s="1" t="s">
        <v>126</v>
      </c>
    </row>
    <row r="95" spans="1:13" ht="23.1" customHeight="1">
      <c r="A95" s="16">
        <v>45894</v>
      </c>
      <c r="B95" s="6">
        <v>40.700000000000003</v>
      </c>
      <c r="C95" s="20">
        <f t="shared" si="4"/>
        <v>1656.4900000000002</v>
      </c>
      <c r="D95" s="6">
        <v>419.59</v>
      </c>
      <c r="E95" s="20">
        <f>COUNT($D$9:D94)</f>
        <v>86</v>
      </c>
      <c r="F95" s="21">
        <f t="array" ref="F95:G95">LINEST($D$9:D94,$B$9:B94,1,0)</f>
        <v>5.8263881485463029</v>
      </c>
      <c r="G95" s="21">
        <v>207.14124312502909</v>
      </c>
      <c r="H95" s="21">
        <f t="array" ref="H95:J95">LINEST($D$9:D95,$B$9:C95,1,0)</f>
        <v>-0.22188607509857586</v>
      </c>
      <c r="I95" s="21">
        <v>17.187201175583183</v>
      </c>
      <c r="J95" s="21">
        <v>85.146011139435757</v>
      </c>
      <c r="K95" s="20">
        <f t="shared" si="2"/>
        <v>444.27524077086366</v>
      </c>
      <c r="L95" s="20">
        <f t="shared" si="3"/>
        <v>417.11303444563146</v>
      </c>
      <c r="M95" s="1" t="s">
        <v>126</v>
      </c>
    </row>
    <row r="96" spans="1:13" ht="23.1" customHeight="1">
      <c r="A96" s="16">
        <v>45901</v>
      </c>
      <c r="B96" s="6">
        <v>30.6</v>
      </c>
      <c r="C96" s="20">
        <f t="shared" si="4"/>
        <v>936.36000000000013</v>
      </c>
      <c r="D96" s="6">
        <v>410.08</v>
      </c>
      <c r="E96" s="20">
        <f>COUNT($D$9:D95)</f>
        <v>87</v>
      </c>
      <c r="F96" s="21">
        <f t="array" ref="F96:G96">LINEST($D$9:D95,$B$9:B95,1,0)</f>
        <v>5.786783284821797</v>
      </c>
      <c r="G96" s="21">
        <v>207.87890050396945</v>
      </c>
      <c r="H96" s="21">
        <f t="array" ref="H96:J96">LINEST($D$9:D96,$B$9:C96,1,0)</f>
        <v>-0.22281427752255073</v>
      </c>
      <c r="I96" s="21">
        <v>17.23830896725006</v>
      </c>
      <c r="J96" s="21">
        <v>84.620346251337054</v>
      </c>
      <c r="K96" s="20">
        <f t="shared" si="2"/>
        <v>384.95446901951641</v>
      </c>
      <c r="L96" s="20">
        <f t="shared" si="3"/>
        <v>403.47822374817332</v>
      </c>
      <c r="M96" s="1" t="s">
        <v>126</v>
      </c>
    </row>
    <row r="97" spans="1:13" ht="23.1" customHeight="1">
      <c r="A97" s="16">
        <v>45908</v>
      </c>
      <c r="B97" s="6">
        <v>27.2</v>
      </c>
      <c r="C97" s="20">
        <f t="shared" si="4"/>
        <v>739.83999999999992</v>
      </c>
      <c r="D97" s="6">
        <v>390.98</v>
      </c>
      <c r="E97" s="20">
        <f>COUNT($D$9:D96)</f>
        <v>88</v>
      </c>
      <c r="F97" s="21">
        <f t="array" ref="F97:G97">LINEST($D$9:D96,$B$9:B96,1,0)</f>
        <v>5.7996090644529117</v>
      </c>
      <c r="G97" s="21">
        <v>207.83294437175854</v>
      </c>
      <c r="H97" s="21">
        <f t="array" ref="H97:J97">LINEST($D$9:D97,$B$9:C97,1,0)</f>
        <v>-0.2232071554030178</v>
      </c>
      <c r="I97" s="21">
        <v>17.258806831028011</v>
      </c>
      <c r="J97" s="21">
        <v>84.420256860823542</v>
      </c>
      <c r="K97" s="20">
        <f t="shared" si="2"/>
        <v>365.58231092487773</v>
      </c>
      <c r="L97" s="20">
        <f t="shared" si="3"/>
        <v>388.72222081141672</v>
      </c>
      <c r="M97" s="1" t="s">
        <v>126</v>
      </c>
    </row>
    <row r="98" spans="1:13" ht="23.1" customHeight="1">
      <c r="A98" s="16">
        <v>45915</v>
      </c>
      <c r="B98" s="6">
        <v>20.7</v>
      </c>
      <c r="C98" s="20">
        <f t="shared" si="4"/>
        <v>428.48999999999995</v>
      </c>
      <c r="D98" s="6">
        <v>360.61</v>
      </c>
      <c r="E98" s="20">
        <f>COUNT($D$9:D97)</f>
        <v>89</v>
      </c>
      <c r="F98" s="21">
        <f t="array" ref="F98:G98">LINEST($D$9:D97,$B$9:B97,1,0)</f>
        <v>5.8032626196235721</v>
      </c>
      <c r="G98" s="21">
        <v>208.02383237007146</v>
      </c>
      <c r="H98" s="21">
        <f t="array" ref="H98:J98">LINEST($D$9:D98,$B$9:C98,1,0)</f>
        <v>-0.22508865675168818</v>
      </c>
      <c r="I98" s="21">
        <v>17.347494561457676</v>
      </c>
      <c r="J98" s="21">
        <v>83.741824522311248</v>
      </c>
      <c r="K98" s="20">
        <f t="shared" si="2"/>
        <v>328.15136859627938</v>
      </c>
      <c r="L98" s="20">
        <f t="shared" si="3"/>
        <v>346.38672341295427</v>
      </c>
      <c r="M98" s="1" t="s">
        <v>126</v>
      </c>
    </row>
    <row r="99" spans="1:13" ht="23.1" customHeight="1">
      <c r="A99" s="16">
        <v>45922</v>
      </c>
      <c r="B99" s="6">
        <v>23.5</v>
      </c>
      <c r="C99" s="20">
        <f t="shared" si="4"/>
        <v>552.25</v>
      </c>
      <c r="D99" s="6">
        <v>368.98</v>
      </c>
      <c r="E99" s="20">
        <f>COUNT($D$9:D98)</f>
        <v>90</v>
      </c>
      <c r="F99" s="21">
        <f t="array" ref="F99:G99">LINEST($D$9:D98,$B$9:B98,1,0)</f>
        <v>5.7855396952033473</v>
      </c>
      <c r="G99" s="21">
        <v>208.84177466443111</v>
      </c>
      <c r="H99" s="21">
        <f t="array" ref="H99:J99">LINEST($D$9:D99,$B$9:C99,1,0)</f>
        <v>-0.22538435402110837</v>
      </c>
      <c r="I99" s="21">
        <v>17.362233380669377</v>
      </c>
      <c r="J99" s="21">
        <v>83.609389480621587</v>
      </c>
      <c r="K99" s="20">
        <f t="shared" si="2"/>
        <v>344.80195750170981</v>
      </c>
      <c r="L99" s="20">
        <f t="shared" si="3"/>
        <v>367.15336441819488</v>
      </c>
      <c r="M99" s="1" t="s">
        <v>126</v>
      </c>
    </row>
    <row r="100" spans="1:13" ht="23.1" customHeight="1">
      <c r="A100" s="16">
        <v>45929</v>
      </c>
      <c r="B100" s="6">
        <v>15</v>
      </c>
      <c r="C100" s="20">
        <f t="shared" si="4"/>
        <v>225</v>
      </c>
      <c r="D100" s="6">
        <v>268.52</v>
      </c>
      <c r="E100" s="20">
        <f>COUNT($D$9:D99)</f>
        <v>91</v>
      </c>
      <c r="F100" s="21">
        <f t="array" ref="F100:G100">LINEST($D$9:D99,$B$9:B99,1,0)</f>
        <v>5.7796516416978161</v>
      </c>
      <c r="G100" s="21">
        <v>209.25924334142246</v>
      </c>
      <c r="H100" s="21">
        <f t="array" ref="H100:J100">LINEST($D$9:D100,$B$9:C100,1,0)</f>
        <v>-0.22583799938471896</v>
      </c>
      <c r="I100" s="21">
        <v>17.413485063627284</v>
      </c>
      <c r="J100" s="21">
        <v>82.369953555880898</v>
      </c>
      <c r="K100" s="20">
        <f t="shared" si="2"/>
        <v>295.95401796688969</v>
      </c>
      <c r="L100" s="20">
        <f t="shared" si="3"/>
        <v>292.75867964872839</v>
      </c>
      <c r="M100" s="1" t="s">
        <v>126</v>
      </c>
    </row>
    <row r="101" spans="1:13" ht="23.1" customHeight="1">
      <c r="A101" s="16">
        <v>45936</v>
      </c>
      <c r="B101" s="6">
        <v>8.4</v>
      </c>
      <c r="C101" s="20">
        <f t="shared" si="4"/>
        <v>70.56</v>
      </c>
      <c r="D101" s="6">
        <v>223.93</v>
      </c>
      <c r="E101" s="20">
        <f>COUNT($D$9:D100)</f>
        <v>92</v>
      </c>
      <c r="F101" s="21">
        <f t="array" ref="F101:G101">LINEST($D$9:D100,$B$9:B100,1,0)</f>
        <v>5.8105500683228044</v>
      </c>
      <c r="G101" s="21">
        <v>208.1682005838083</v>
      </c>
      <c r="H101" s="21">
        <f t="array" ref="H101:J101">LINEST($D$9:D101,$B$9:C101,1,0)</f>
        <v>-0.22263430854657573</v>
      </c>
      <c r="I101" s="21">
        <v>17.230353825227848</v>
      </c>
      <c r="J101" s="21">
        <v>84.740563713675101</v>
      </c>
      <c r="K101" s="20">
        <f t="shared" si="2"/>
        <v>256.97682115771988</v>
      </c>
      <c r="L101" s="20">
        <f t="shared" si="3"/>
        <v>213.76645903454266</v>
      </c>
      <c r="M101" s="1" t="s">
        <v>126</v>
      </c>
    </row>
    <row r="102" spans="1:13" ht="23.1" customHeight="1">
      <c r="A102" s="16">
        <v>45943</v>
      </c>
      <c r="B102" s="6">
        <v>18.5</v>
      </c>
      <c r="C102" s="20">
        <f t="shared" si="4"/>
        <v>342.25</v>
      </c>
      <c r="D102" s="6">
        <v>315.41000000000003</v>
      </c>
      <c r="E102" s="20">
        <f>COUNT($D$9:D101)</f>
        <v>93</v>
      </c>
      <c r="F102" s="21">
        <f t="array" ref="F102:G102">LINEST($D$9:D101,$B$9:B101,1,0)</f>
        <v>5.8683666216452703</v>
      </c>
      <c r="G102" s="21">
        <v>206.34002835118494</v>
      </c>
      <c r="H102" s="21">
        <f t="array" ref="H102:J102">LINEST($D$9:D102,$B$9:C102,1,0)</f>
        <v>-0.22164861237079797</v>
      </c>
      <c r="I102" s="21">
        <v>17.188379974597691</v>
      </c>
      <c r="J102" s="21">
        <v>84.941378050930666</v>
      </c>
      <c r="K102" s="20">
        <f t="shared" si="2"/>
        <v>314.90481085162241</v>
      </c>
      <c r="L102" s="20">
        <f t="shared" si="3"/>
        <v>327.06716999708232</v>
      </c>
      <c r="M102" s="1" t="s">
        <v>126</v>
      </c>
    </row>
    <row r="103" spans="1:13" ht="23.1" customHeight="1">
      <c r="A103" s="16">
        <v>45950</v>
      </c>
      <c r="B103" s="6">
        <v>31.8</v>
      </c>
      <c r="C103" s="20">
        <f t="shared" si="4"/>
        <v>1011.24</v>
      </c>
      <c r="D103" s="6">
        <v>399.1</v>
      </c>
      <c r="E103" s="20">
        <f>COUNT($D$9:D102)</f>
        <v>94</v>
      </c>
      <c r="F103" s="21">
        <f t="array" ref="F103:G103">LINEST($D$9:D102,$B$9:B102,1,0)</f>
        <v>5.8680111956277914</v>
      </c>
      <c r="G103" s="21">
        <v>206.35443052467124</v>
      </c>
      <c r="H103" s="21">
        <f t="array" ref="H103:J103">LINEST($D$9:D103,$B$9:C103,1,0)</f>
        <v>-0.22084957989711071</v>
      </c>
      <c r="I103" s="21">
        <v>17.142272005467742</v>
      </c>
      <c r="J103" s="21">
        <v>85.427271746030783</v>
      </c>
      <c r="K103" s="20">
        <f t="shared" si="2"/>
        <v>392.95718654563501</v>
      </c>
      <c r="L103" s="20">
        <f t="shared" si="3"/>
        <v>407.21959234475077</v>
      </c>
      <c r="M103" s="1" t="s">
        <v>126</v>
      </c>
    </row>
    <row r="104" spans="1:13" ht="23.1" customHeight="1">
      <c r="A104" s="16">
        <v>45957</v>
      </c>
      <c r="B104" s="6">
        <v>30.9</v>
      </c>
      <c r="C104" s="20">
        <f t="shared" si="4"/>
        <v>954.81</v>
      </c>
      <c r="D104" s="6">
        <v>409.77</v>
      </c>
      <c r="E104" s="20">
        <f>COUNT($D$9:D103)</f>
        <v>95</v>
      </c>
      <c r="F104" s="21">
        <f t="array" ref="F104:G104">LINEST($D$9:D103,$B$9:B103,1,0)</f>
        <v>5.871961282502749</v>
      </c>
      <c r="G104" s="21">
        <v>206.31849340118799</v>
      </c>
      <c r="H104" s="21">
        <f t="array" ref="H104:J104">LINEST($D$9:D104,$B$9:C104,1,0)</f>
        <v>-0.22145483607965483</v>
      </c>
      <c r="I104" s="21">
        <v>17.176136869127369</v>
      </c>
      <c r="J104" s="21">
        <v>85.076944392326595</v>
      </c>
      <c r="K104" s="20">
        <f t="shared" si="2"/>
        <v>387.76209703052291</v>
      </c>
      <c r="L104" s="20">
        <f t="shared" si="3"/>
        <v>404.37228161114706</v>
      </c>
      <c r="M104" s="1" t="s">
        <v>126</v>
      </c>
    </row>
    <row r="105" spans="1:13" ht="23.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23.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23.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23.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23.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23.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23.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23.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23.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23.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23.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23.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23.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23.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23.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23.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23.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23.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</sheetData>
  <mergeCells count="7">
    <mergeCell ref="A6:M6"/>
    <mergeCell ref="A7:M7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5A3B"/>
  </sheetPr>
  <dimension ref="A1:F18"/>
  <sheetViews>
    <sheetView showGridLines="0" workbookViewId="0">
      <selection activeCell="B7" sqref="B7:B9"/>
    </sheetView>
  </sheetViews>
  <sheetFormatPr defaultRowHeight="14.25"/>
  <cols>
    <col min="1" max="3" width="22" customWidth="1"/>
    <col min="4" max="6" width="13" customWidth="1"/>
  </cols>
  <sheetData>
    <row r="1" spans="1:6" ht="23.1" customHeight="1">
      <c r="A1" s="1"/>
      <c r="B1" s="1"/>
      <c r="C1" s="1"/>
      <c r="D1" s="1"/>
      <c r="E1" s="1"/>
      <c r="F1" s="1"/>
    </row>
    <row r="2" spans="1:6" ht="30" customHeight="1">
      <c r="A2" s="32" t="s">
        <v>127</v>
      </c>
      <c r="B2" s="32"/>
      <c r="C2" s="32"/>
      <c r="D2" s="32"/>
      <c r="E2" s="32"/>
      <c r="F2" s="32"/>
    </row>
    <row r="3" spans="1:6" ht="23.1" customHeight="1">
      <c r="A3" s="1"/>
      <c r="B3" s="1"/>
      <c r="C3" s="1"/>
      <c r="D3" s="1"/>
      <c r="E3" s="1"/>
      <c r="F3" s="1"/>
    </row>
    <row r="4" spans="1:6" ht="44.1" customHeight="1">
      <c r="A4" s="33" t="s">
        <v>128</v>
      </c>
      <c r="B4" s="33"/>
      <c r="C4" s="33"/>
      <c r="D4" s="33"/>
      <c r="E4" s="33"/>
      <c r="F4" s="33"/>
    </row>
    <row r="5" spans="1:6" ht="23.1" customHeight="1">
      <c r="A5" s="1"/>
      <c r="B5" s="1"/>
      <c r="C5" s="1"/>
      <c r="D5" s="1"/>
      <c r="E5" s="1"/>
      <c r="F5" s="1"/>
    </row>
    <row r="6" spans="1:6" ht="38.1" customHeight="1">
      <c r="A6" s="2" t="s">
        <v>21</v>
      </c>
      <c r="B6" s="2" t="s">
        <v>129</v>
      </c>
      <c r="C6" s="2" t="s">
        <v>130</v>
      </c>
      <c r="D6" s="1"/>
      <c r="E6" s="1"/>
      <c r="F6" s="1"/>
    </row>
    <row r="7" spans="1:6" ht="23.1" customHeight="1">
      <c r="A7" s="4">
        <v>46023</v>
      </c>
      <c r="B7" s="1">
        <v>2504</v>
      </c>
      <c r="C7" s="1">
        <v>574.70000000000005</v>
      </c>
      <c r="D7" s="1"/>
      <c r="E7" s="1"/>
      <c r="F7" s="1"/>
    </row>
    <row r="8" spans="1:6" ht="23.1" customHeight="1">
      <c r="A8" s="4">
        <v>46054</v>
      </c>
      <c r="B8" s="1">
        <v>2549</v>
      </c>
      <c r="C8" s="1">
        <v>845.3</v>
      </c>
      <c r="D8" s="1"/>
      <c r="E8" s="1"/>
      <c r="F8" s="1"/>
    </row>
    <row r="9" spans="1:6" ht="23.1" customHeight="1">
      <c r="A9" s="4">
        <v>46082</v>
      </c>
      <c r="B9" s="1">
        <v>2630</v>
      </c>
      <c r="C9" s="1">
        <v>631.79999999999995</v>
      </c>
      <c r="D9" s="1"/>
      <c r="E9" s="1"/>
      <c r="F9" s="1"/>
    </row>
    <row r="10" spans="1:6" ht="23.1" customHeight="1">
      <c r="A10" s="1"/>
      <c r="B10" s="1"/>
      <c r="C10" s="1"/>
      <c r="D10" s="1"/>
      <c r="E10" s="1"/>
      <c r="F10" s="1"/>
    </row>
    <row r="11" spans="1:6" ht="23.1" customHeight="1">
      <c r="A11" s="1"/>
      <c r="B11" s="1"/>
      <c r="C11" s="1"/>
      <c r="D11" s="1"/>
      <c r="E11" s="1"/>
      <c r="F11" s="1"/>
    </row>
    <row r="12" spans="1:6" ht="39.950000000000003" customHeight="1">
      <c r="A12" s="33" t="s">
        <v>131</v>
      </c>
      <c r="B12" s="33"/>
      <c r="C12" s="33"/>
      <c r="D12" s="33"/>
      <c r="E12" s="33"/>
      <c r="F12" s="33"/>
    </row>
    <row r="13" spans="1:6" ht="23.1" customHeight="1">
      <c r="A13" s="1"/>
      <c r="B13" s="1"/>
      <c r="C13" s="1"/>
      <c r="D13" s="1"/>
      <c r="E13" s="1"/>
      <c r="F13" s="1"/>
    </row>
    <row r="14" spans="1:6" ht="23.1" customHeight="1">
      <c r="A14" s="1"/>
      <c r="B14" s="1"/>
      <c r="C14" s="1"/>
      <c r="D14" s="1"/>
      <c r="E14" s="1"/>
      <c r="F14" s="1"/>
    </row>
    <row r="15" spans="1:6" ht="23.1" customHeight="1">
      <c r="A15" s="1"/>
      <c r="B15" s="1"/>
      <c r="C15" s="1"/>
      <c r="D15" s="1"/>
      <c r="E15" s="1"/>
      <c r="F15" s="1"/>
    </row>
    <row r="16" spans="1:6" ht="23.1" customHeight="1">
      <c r="A16" s="1"/>
      <c r="B16" s="1"/>
      <c r="C16" s="1"/>
      <c r="D16" s="1"/>
      <c r="E16" s="1"/>
      <c r="F16" s="1"/>
    </row>
    <row r="17" spans="1:6" ht="23.1" customHeight="1">
      <c r="A17" s="1"/>
      <c r="B17" s="1"/>
      <c r="C17" s="1"/>
      <c r="D17" s="1"/>
      <c r="E17" s="1"/>
      <c r="F17" s="1"/>
    </row>
    <row r="18" spans="1:6" ht="23.1" customHeight="1">
      <c r="A18" s="1"/>
      <c r="B18" s="1"/>
      <c r="C18" s="1"/>
      <c r="D18" s="1"/>
      <c r="E18" s="1"/>
      <c r="F18" s="1"/>
    </row>
  </sheetData>
  <mergeCells count="3">
    <mergeCell ref="A2:F2"/>
    <mergeCell ref="A4:F4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Instrukcja</vt:lpstr>
      <vt:lpstr>Wykladniczy</vt:lpstr>
      <vt:lpstr>Potegowy</vt:lpstr>
      <vt:lpstr>CW</vt:lpstr>
      <vt:lpstr>Modele_CW</vt:lpstr>
      <vt:lpstr>Realizacje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Kwaśniewska</cp:lastModifiedBy>
  <dcterms:modified xsi:type="dcterms:W3CDTF">2026-10-25T13:48:06Z</dcterms:modified>
</cp:coreProperties>
</file>