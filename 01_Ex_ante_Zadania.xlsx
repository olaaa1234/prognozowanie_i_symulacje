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vdi-fs01.ue.poznan\Profiles$\91841\Downloads\"/>
    </mc:Choice>
  </mc:AlternateContent>
  <xr:revisionPtr revIDLastSave="0" documentId="13_ncr:1_{1799141B-A874-4490-9F39-02012BC6D54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kcja" sheetId="1" r:id="rId1"/>
    <sheet name="Trend" sheetId="2" r:id="rId2"/>
    <sheet name="Koszty" sheetId="3" r:id="rId3"/>
    <sheet name="Realizacj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3" l="1"/>
  <c r="L47" i="3"/>
  <c r="L45" i="3"/>
  <c r="K46" i="3"/>
  <c r="K47" i="3"/>
  <c r="K45" i="3"/>
  <c r="J46" i="3"/>
  <c r="J47" i="3"/>
  <c r="J45" i="3"/>
  <c r="H46" i="3"/>
  <c r="I46" i="3"/>
  <c r="H47" i="3"/>
  <c r="I47" i="3"/>
  <c r="I45" i="3"/>
  <c r="H45" i="3"/>
  <c r="G46" i="3"/>
  <c r="G47" i="3"/>
  <c r="G45" i="3"/>
  <c r="F46" i="3" a="1"/>
  <c r="F46" i="3" s="1"/>
  <c r="F47" i="3" a="1"/>
  <c r="F47" i="3" s="1"/>
  <c r="F45" i="3" a="1"/>
  <c r="F45" i="3"/>
  <c r="J37" i="3" a="1"/>
  <c r="J37" i="3" s="1"/>
  <c r="F37" i="3" a="1"/>
  <c r="F37" i="3" s="1"/>
  <c r="A37" i="3" a="1"/>
  <c r="A37" i="3" s="1"/>
  <c r="I9" i="3" a="1"/>
  <c r="I9" i="3" s="1"/>
  <c r="O14" i="3" a="1"/>
  <c r="O14" i="3" s="1"/>
  <c r="M11" i="3" s="1"/>
  <c r="J38" i="2"/>
  <c r="J39" i="2"/>
  <c r="J37" i="2"/>
  <c r="I38" i="2"/>
  <c r="I39" i="2"/>
  <c r="I37" i="2"/>
  <c r="H38" i="2"/>
  <c r="H39" i="2"/>
  <c r="H37" i="2"/>
  <c r="D37" i="2"/>
  <c r="G38" i="2"/>
  <c r="G39" i="2"/>
  <c r="G37" i="2"/>
  <c r="F38" i="2"/>
  <c r="F39" i="2"/>
  <c r="F37" i="2"/>
  <c r="E37" i="2"/>
  <c r="E38" i="2"/>
  <c r="E39" i="2"/>
  <c r="D38" i="2"/>
  <c r="D39" i="2"/>
  <c r="I26" i="2" a="1"/>
  <c r="I26" i="2"/>
  <c r="I25" i="2"/>
  <c r="I24" i="2"/>
  <c r="C38" i="2"/>
  <c r="C39" i="2"/>
  <c r="C37" i="2"/>
  <c r="D10" i="2"/>
  <c r="D13" i="2"/>
  <c r="M10" i="3" l="1"/>
  <c r="M15" i="3"/>
  <c r="M14" i="3"/>
  <c r="I32" i="3"/>
  <c r="I30" i="3"/>
  <c r="I28" i="3"/>
  <c r="I26" i="3"/>
  <c r="I24" i="3"/>
  <c r="I22" i="3"/>
  <c r="I20" i="3"/>
  <c r="I18" i="3"/>
  <c r="I16" i="3"/>
  <c r="I14" i="3"/>
  <c r="I12" i="3"/>
  <c r="I10" i="3"/>
  <c r="M9" i="3"/>
  <c r="M16" i="3"/>
  <c r="M18" i="3"/>
  <c r="M12" i="3"/>
  <c r="I31" i="3"/>
  <c r="I29" i="3"/>
  <c r="I27" i="3"/>
  <c r="I25" i="3"/>
  <c r="I23" i="3"/>
  <c r="I21" i="3"/>
  <c r="I19" i="3"/>
  <c r="I17" i="3"/>
  <c r="I15" i="3"/>
  <c r="I13" i="3"/>
  <c r="I11" i="3"/>
  <c r="F9" i="3"/>
  <c r="F29" i="3"/>
  <c r="F25" i="3"/>
  <c r="F21" i="3"/>
  <c r="F17" i="3"/>
  <c r="F13" i="3"/>
  <c r="F30" i="3"/>
  <c r="F26" i="3"/>
  <c r="F22" i="3"/>
  <c r="F18" i="3"/>
  <c r="F14" i="3"/>
  <c r="F10" i="3" l="1"/>
  <c r="G9" i="3" s="1" a="1"/>
  <c r="E46" i="3"/>
  <c r="E45" i="3"/>
  <c r="E47" i="3"/>
  <c r="F12" i="3"/>
  <c r="F16" i="3"/>
  <c r="F20" i="3"/>
  <c r="F24" i="3"/>
  <c r="F28" i="3"/>
  <c r="F32" i="3"/>
  <c r="F15" i="3"/>
  <c r="F19" i="3"/>
  <c r="F23" i="3"/>
  <c r="F27" i="3"/>
  <c r="F31" i="3"/>
  <c r="F11" i="3"/>
  <c r="I18" i="2"/>
  <c r="N19" i="2"/>
  <c r="I17" i="2"/>
  <c r="I22" i="2"/>
  <c r="L16" i="2"/>
  <c r="I16" i="2" a="1"/>
  <c r="I16" i="2"/>
  <c r="I15" i="2"/>
  <c r="M20" i="2"/>
  <c r="L20" i="2"/>
  <c r="M19" i="2"/>
  <c r="L19" i="2"/>
  <c r="F32" i="2"/>
  <c r="D21" i="2"/>
  <c r="D9" i="2"/>
  <c r="L11" i="2" a="1"/>
  <c r="L11" i="2" s="1"/>
  <c r="I12" i="2"/>
  <c r="I11" i="2"/>
  <c r="D11" i="2" s="1"/>
  <c r="E11" i="2" s="1"/>
  <c r="F11" i="2" s="1"/>
  <c r="I9" i="2"/>
  <c r="G9" i="3" l="1"/>
  <c r="G11" i="3"/>
  <c r="G13" i="3"/>
  <c r="G15" i="3"/>
  <c r="G17" i="3"/>
  <c r="G19" i="3"/>
  <c r="G21" i="3"/>
  <c r="G23" i="3"/>
  <c r="G25" i="3"/>
  <c r="G27" i="3"/>
  <c r="G29" i="3"/>
  <c r="G31" i="3"/>
  <c r="G10" i="3"/>
  <c r="G12" i="3"/>
  <c r="G14" i="3"/>
  <c r="G16" i="3"/>
  <c r="G18" i="3"/>
  <c r="G20" i="3"/>
  <c r="G22" i="3"/>
  <c r="G24" i="3"/>
  <c r="G26" i="3"/>
  <c r="G28" i="3"/>
  <c r="G30" i="3"/>
  <c r="G32" i="3"/>
  <c r="D32" i="2"/>
  <c r="E32" i="2" s="1"/>
  <c r="D30" i="2"/>
  <c r="E30" i="2" s="1"/>
  <c r="F30" i="2" s="1"/>
  <c r="D28" i="2"/>
  <c r="E28" i="2" s="1"/>
  <c r="F28" i="2" s="1"/>
  <c r="D26" i="2"/>
  <c r="E26" i="2" s="1"/>
  <c r="F26" i="2" s="1"/>
  <c r="D24" i="2"/>
  <c r="E24" i="2" s="1"/>
  <c r="F24" i="2" s="1"/>
  <c r="D22" i="2"/>
  <c r="E22" i="2" s="1"/>
  <c r="F22" i="2" s="1"/>
  <c r="D20" i="2"/>
  <c r="E20" i="2" s="1"/>
  <c r="F20" i="2" s="1"/>
  <c r="D18" i="2"/>
  <c r="E18" i="2" s="1"/>
  <c r="F18" i="2" s="1"/>
  <c r="D16" i="2"/>
  <c r="E16" i="2" s="1"/>
  <c r="F16" i="2" s="1"/>
  <c r="D14" i="2"/>
  <c r="E14" i="2" s="1"/>
  <c r="F14" i="2" s="1"/>
  <c r="D12" i="2"/>
  <c r="E12" i="2" s="1"/>
  <c r="F12" i="2" s="1"/>
  <c r="E10" i="2"/>
  <c r="F10" i="2" s="1"/>
  <c r="E9" i="2"/>
  <c r="F9" i="2" s="1"/>
  <c r="D31" i="2"/>
  <c r="E31" i="2" s="1"/>
  <c r="F31" i="2" s="1"/>
  <c r="D29" i="2"/>
  <c r="E29" i="2" s="1"/>
  <c r="F29" i="2" s="1"/>
  <c r="D27" i="2"/>
  <c r="E27" i="2" s="1"/>
  <c r="F27" i="2" s="1"/>
  <c r="D25" i="2"/>
  <c r="E25" i="2" s="1"/>
  <c r="F25" i="2" s="1"/>
  <c r="D23" i="2"/>
  <c r="E23" i="2" s="1"/>
  <c r="F23" i="2" s="1"/>
  <c r="E21" i="2"/>
  <c r="F21" i="2" s="1"/>
  <c r="D19" i="2"/>
  <c r="E19" i="2" s="1"/>
  <c r="F19" i="2" s="1"/>
  <c r="D17" i="2"/>
  <c r="E17" i="2" s="1"/>
  <c r="F17" i="2" s="1"/>
  <c r="D15" i="2"/>
  <c r="E15" i="2" s="1"/>
  <c r="F15" i="2" s="1"/>
  <c r="E13" i="2"/>
  <c r="H9" i="3" l="1" a="1"/>
  <c r="E33" i="2"/>
  <c r="F13" i="2"/>
  <c r="I13" i="2" s="1"/>
  <c r="I14" i="2" s="1"/>
  <c r="H9" i="3" l="1"/>
  <c r="H12" i="3"/>
  <c r="H16" i="3"/>
  <c r="H20" i="3"/>
  <c r="H24" i="3"/>
  <c r="H28" i="3"/>
  <c r="H32" i="3"/>
  <c r="H10" i="3"/>
  <c r="H14" i="3"/>
  <c r="H18" i="3"/>
  <c r="H22" i="3"/>
  <c r="H26" i="3"/>
  <c r="H30" i="3"/>
  <c r="H31" i="3"/>
  <c r="H27" i="3"/>
  <c r="H23" i="3"/>
  <c r="H19" i="3"/>
  <c r="H15" i="3"/>
  <c r="H11" i="3"/>
  <c r="H29" i="3"/>
  <c r="H25" i="3"/>
  <c r="H21" i="3"/>
  <c r="H17" i="3"/>
  <c r="H13" i="3"/>
  <c r="H33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<sst xmlns="http://schemas.openxmlformats.org/spreadsheetml/2006/main" count="175" uniqueCount="132">
  <si>
    <t>Prognozowanie ekonometryczne • laboratorium 1</t>
  </si>
  <si>
    <t>WERSJA DLA STUDENTÓW — uzupełnij żółte pola i zapisz własne wnioski.</t>
  </si>
  <si>
    <t>Dwa przedsiębiorstwa, miesięczne dane 01.2024–12.2025. W chwili prognozowania jest 31.12.2025. Prognozy dotyczą 01–03.2026.</t>
  </si>
  <si>
    <t>Najpierw wykonaj prognozy i przedziały. Dopiero potem otwórz arkusz Realizacje i oceń błędy ex post. Nie dopisuj tych wartości do próby estymacyjnej.</t>
  </si>
  <si>
    <t>Trend: sprzedaż firmy serwisowej, tys. zł w cenach stałych 2025 r. Koszty: zakład opakowań, tys. zł w cenach stałych 2025 r.</t>
  </si>
  <si>
    <t>Model kosztów wykorzystuje plan produkcji i zaplanowane godziny pracy linii. Przyjmujemy, że plany są znane i zostaną wykonane. Przedziały są warunkowe względem tych planów.</t>
  </si>
  <si>
    <t>Obliczenia: n = liczba obserwacji, p = liczba wszystkich parametrów, s = odchylenie standardowe reszt, m* = błąd prognozy ex ante. Poziom przedziału: 95%.</t>
  </si>
  <si>
    <t>Dla nowej obserwacji m* = s·√(1 + x*′(X′X)⁻¹x*). Dla średniej pomijamy 1. Przedział: y* ± t(1−α/2,n−p)·m*.</t>
  </si>
  <si>
    <t>Żółty: obliczenia studenta. Niebieski: dane i założenia. Biały: opis. Formuły wersji prowadzącego pozostają edytowalne.</t>
  </si>
  <si>
    <t>Wszystkie dane są syntetyczne, przygotowane do ćwiczeń. Nie opisują rzeczywistych przedsiębiorstw. Założono stabilne relacje, brak sezonowości oraz niezależne błędy o stałej wariancji.</t>
  </si>
  <si>
    <t>Zapisuj formuły, nie tylko wyniki. Nie zaokrąglaj wartości pośrednich. Znak błędu ex post: e = y − y*.</t>
  </si>
  <si>
    <t>W Excelu można użyć Dane &gt; Analiza danych &gt; Regresja albo funkcji regresji. W zadaniu Koszty sprawdź współczynniki metodą macierzową. Wektor parametrów ma kolejność: stała, produkcja, godziny.</t>
  </si>
  <si>
    <t>Pytanie końcowe: czy trafna pojedyncza prognoza dowodzi poprawności całego modelu? Dlaczego przedziały dla średniej i nowej obserwacji różnią się szerokością?</t>
  </si>
  <si>
    <t>Przydatne funkcje: SUMA, ŚREDNIA, SUMA.ILOCZYNÓW, PIERWIASTEK, LN, EXP, NACHYLENIE, ODCIĘTA. Formuły w pliku Excel wyświetla w języku instalacji.</t>
  </si>
  <si>
    <t>1. Trend sprzedaży firmy serwisowej</t>
  </si>
  <si>
    <t>Model: Y_t = β0 + β1·t + ε_t. Sprzedaż w tys. zł, ceny stałe 2025 r.</t>
  </si>
  <si>
    <t>Dane syntetyczne. Estymacja: 24 miesiące 01.2024–12.2025. Moment prognozy: 31.12.2025. Nie używaj realizacji z 2026 r.</t>
  </si>
  <si>
    <t>1. Przyjmij t=1 dla 01.2024. Oszacuj parametry, oblicz dopasowanie, reszty, SSE, s i R².</t>
  </si>
  <si>
    <t>2. Oblicz trzy prognozy, m*, przedziały 95% i względny błąd. Oceń dopuszczalność przy progu 5%.</t>
  </si>
  <si>
    <t>3. Po zapisaniu prognoz użyj arkusza Realizacje. Oblicz błędy ex post i sprawdź, czy realizacje należą do przedziałów.</t>
  </si>
  <si>
    <t>Wzór: m*=s·√[1+1/n+(t*−średnia t)²/Sxx]. Przedział dla średniej wykorzystuje s·√[1/n+(t*−średnia t)²/Sxx].</t>
  </si>
  <si>
    <t>Miesiąc</t>
  </si>
  <si>
    <t>t</t>
  </si>
  <si>
    <t>Y (tys. zł)</t>
  </si>
  <si>
    <t>Reszta</t>
  </si>
  <si>
    <t>Reszta²</t>
  </si>
  <si>
    <t>n</t>
  </si>
  <si>
    <t>Liczba obserwacji estymacyjnych</t>
  </si>
  <si>
    <t>p</t>
  </si>
  <si>
    <t>Stała i jeden regresor</t>
  </si>
  <si>
    <t>b0</t>
  </si>
  <si>
    <t>b1</t>
  </si>
  <si>
    <t>SSE</t>
  </si>
  <si>
    <t>Suma kwadratów reszt</t>
  </si>
  <si>
    <t>s</t>
  </si>
  <si>
    <t>Odchylenie standardowe reszt</t>
  </si>
  <si>
    <t>kwantyl t</t>
  </si>
  <si>
    <t>Dwustronny przedział 95%</t>
  </si>
  <si>
    <t>R²</t>
  </si>
  <si>
    <t>Dopasowanie w skali modelu</t>
  </si>
  <si>
    <t>α</t>
  </si>
  <si>
    <t>Poziom istotności</t>
  </si>
  <si>
    <t>próg względny</t>
  </si>
  <si>
    <t>Dotyczy zadania Trend</t>
  </si>
  <si>
    <t>t*</t>
  </si>
  <si>
    <t>y*</t>
  </si>
  <si>
    <t>m*</t>
  </si>
  <si>
    <t>Dolna 95%</t>
  </si>
  <si>
    <t>Górna 95%</t>
  </si>
  <si>
    <t>m*/|y*|</t>
  </si>
  <si>
    <t>m* średniej</t>
  </si>
  <si>
    <t>Realizacja</t>
  </si>
  <si>
    <t>Błąd ex post</t>
  </si>
  <si>
    <t>W przedziale?</t>
  </si>
  <si>
    <t>Dopuszczalna?</t>
  </si>
  <si>
    <t>Wnioski: interpretacja parametru, szerokość przedziałów oraz różnica między błędem ex ante i ex post.</t>
  </si>
  <si>
    <t>Miejsce na odpowiedź:</t>
  </si>
  <si>
    <t>Pytanie: dlaczego dalsza prognoza ma szerszy przedział, mimo że s pozostaje bez zmian?</t>
  </si>
  <si>
    <t>2. Prognoza kosztów zakładu opakowań</t>
  </si>
  <si>
    <t>Y: koszty (tys. zł, ceny 2025 r.), X1: produkcja (tys. sztuk), X2: godziny pracy linii. Dane syntetyczne.</t>
  </si>
  <si>
    <t>Estymacja: 01.2024–12.2025. Prognozy na 01–03.2026 sporządzamy 31.12.2025 przy znanym planie X1 i X2.</t>
  </si>
  <si>
    <t>1. Oszacuj Y=β0+β1X1+β2X2+ε. Zbuduj X′X, X′Y i (X′X)⁻¹. Kolejność kolumn X: 1, X1, X2.</t>
  </si>
  <si>
    <t>2. Oblicz b=(X′X)⁻¹X′Y, reszty, SSE, s, R² oraz prognozy, m* i przedziały 95%. Porównaj z raportem Regresja.</t>
  </si>
  <si>
    <t>3. Oceń dopuszczalność przy progu 5%. Uzupełnij e=y−y* dopiero po otwarciu Realizacje. Wskaż, czego nie obejmuje warunkowy przedział.</t>
  </si>
  <si>
    <t>Macierze: MACIERZ.ODW (MINVERSE), MACIERZ.ILOCZYN (MMULT). W Excelu 365 wynik może się rozlać. W starszym Excelu zaznacz blok i zatwierdź Ctrl+Shift+Enter.</t>
  </si>
  <si>
    <t>X1</t>
  </si>
  <si>
    <t>X2</t>
  </si>
  <si>
    <t>Y</t>
  </si>
  <si>
    <t>Y dopasowane</t>
  </si>
  <si>
    <t>b2</t>
  </si>
  <si>
    <t>X′X (1, X1, X2)</t>
  </si>
  <si>
    <t>(X′X)⁻¹</t>
  </si>
  <si>
    <t>X′Y</t>
  </si>
  <si>
    <t>Plan X1</t>
  </si>
  <si>
    <t>Plan X2</t>
  </si>
  <si>
    <t>h=x*′(X′X)⁻¹x*</t>
  </si>
  <si>
    <t>e=y−y*</t>
  </si>
  <si>
    <t>Wniosek: interpretuj b1 i b2 przy pozostałych czynnikach stałych. Czy s i m* mają te same jednostki co koszty?</t>
  </si>
  <si>
    <t>Jak zmieniłaby się interpretacja przedziału, gdyby plan produkcji był tylko niepewną prognozą?</t>
  </si>
  <si>
    <t>Realizacje poznane po okresie prognozy</t>
  </si>
  <si>
    <t>Otwórz dopiero po obliczeniu i zapisaniu prognoz. Te wartości nie mogą wejść do estymacji modeli miesięcznych.</t>
  </si>
  <si>
    <t>Sprzedaż (tys. zł)</t>
  </si>
  <si>
    <t>Koszty (tys. zł)</t>
  </si>
  <si>
    <t>Dane syntetyczne. Wyniki są dostępne wyłącznie do oceny ex post, po zakończeniu odpowiedniego miesiąca.</t>
  </si>
  <si>
    <t>Wstaw wykres danych i dopasowania.</t>
  </si>
  <si>
    <t>REGLINP:</t>
  </si>
  <si>
    <t>r^2</t>
  </si>
  <si>
    <t>F</t>
  </si>
  <si>
    <t>n-p(stopnie swobody)</t>
  </si>
  <si>
    <t>b1(współczynnik keirunkowy)</t>
  </si>
  <si>
    <t>b0(wyraz wolny)</t>
  </si>
  <si>
    <t>Współczynnik przy t</t>
  </si>
  <si>
    <t xml:space="preserve">Wyraz wolny modelu </t>
  </si>
  <si>
    <t>S reszt</t>
  </si>
  <si>
    <t>SE</t>
  </si>
  <si>
    <t>t1</t>
  </si>
  <si>
    <t>t0</t>
  </si>
  <si>
    <t>p-value</t>
  </si>
  <si>
    <t>&lt;0,05</t>
  </si>
  <si>
    <t>t krytyczne</t>
  </si>
  <si>
    <t>należy odrzucić ho-parametr jest istotny statystycznie</t>
  </si>
  <si>
    <t>t1,t0 &gt;t krytyczne- należy odrzucić h0. Parametry są istotne statystycznie</t>
  </si>
  <si>
    <t>Suma (t−średnia t)²</t>
  </si>
  <si>
    <t>SS of T</t>
  </si>
  <si>
    <t>średnia y</t>
  </si>
  <si>
    <t>SS of y</t>
  </si>
  <si>
    <t>SS of T( sama dopisałam) Ogólna suma kwadratów</t>
  </si>
  <si>
    <t>regresyjna suma kwadratów SSR ( suma kwadratów taka jak ogólna ale dl atych z daszkiem</t>
  </si>
  <si>
    <t>SSE(suma kwadratów reszt chyba)</t>
  </si>
  <si>
    <t>R^2</t>
  </si>
  <si>
    <t xml:space="preserve">Średnia y </t>
  </si>
  <si>
    <t>Średnia t</t>
  </si>
  <si>
    <t>St</t>
  </si>
  <si>
    <t>wszytskie są dopuszczalne bo mamy 5% poziom dopuszczalności (próg względny)</t>
  </si>
  <si>
    <t>wartość oczekiwana zmiennej losowe-możliwe przysżłe wartości y</t>
  </si>
  <si>
    <t>odchylenie standardowe zmiennej losowej czyli y*</t>
  </si>
  <si>
    <t>odchylenie standardowe zmiennej losowe średnia wartość y a średnia wartość to zmienna losowa o rozkładzie normalnym</t>
  </si>
  <si>
    <t>tutat ta jedynka dlatego że mam jeszcze jednego epsilona więcej i on nie jest uwględniony w parametrach regresji</t>
  </si>
  <si>
    <t>tak wyglądałby błąd gdyby nie było w przyszłości żadnej dodatkowej losowości</t>
  </si>
  <si>
    <t>skopiowane z REALIZACJE</t>
  </si>
  <si>
    <t>RMSE</t>
  </si>
  <si>
    <t>TAK</t>
  </si>
  <si>
    <t>NIE</t>
  </si>
  <si>
    <t>Tak bo m*|y| mniejsze niż 5% czyli podany próg dopuszcalności</t>
  </si>
  <si>
    <t xml:space="preserve">błąd systematrycznie rośnie i tak powinno być. Mówi z jaką niep[ewnością </t>
  </si>
  <si>
    <t>Ocena po fakcie</t>
  </si>
  <si>
    <t>Ocena niepewności z jaką my podajemy tą prognozę</t>
  </si>
  <si>
    <t>Jakbyśmy zrobili śrendia prognozę to jej odchylenie wynosiłoby tyle</t>
  </si>
  <si>
    <t>Y dopasowane inna funkcja (rglinw z ctrl+shift+enter</t>
  </si>
  <si>
    <t>x* to są x1 i x2 te w prżód</t>
  </si>
  <si>
    <t>constant</t>
  </si>
  <si>
    <t>MACIERZ x*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</si>
</sst>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"/>
    <numFmt numFmtId="165" formatCode="0.0000"/>
    <numFmt numFmtId="166" formatCode="0.0%"/>
    <numFmt numFmtId="167" formatCode="0.000000"/>
  </numFmts>
  <fonts count="9">
    <font>
      <sz val="11"/>
      <name val="Carlito"/>
    </font>
    <font>
      <sz val="11"/>
      <color rgb="FF24352D"/>
      <name val="Arial"/>
    </font>
    <font>
      <b/>
      <sz val="16"/>
      <color rgb="FF245A3B"/>
      <name val="Arial"/>
    </font>
    <font>
      <b/>
      <sz val="11"/>
      <color rgb="FFFFFFFF"/>
      <name val="Arial"/>
    </font>
    <font>
      <sz val="10"/>
      <color rgb="FF24352D"/>
      <name val="Arial"/>
    </font>
    <font>
      <sz val="11"/>
      <name val="Carlito"/>
    </font>
    <font>
      <sz val="11"/>
      <color rgb="FF24352D"/>
      <name val="Arial"/>
      <family val="2"/>
      <charset val="238"/>
    </font>
    <font>
      <sz val="10"/>
      <color rgb="FF24352D"/>
      <name val="Arial"/>
      <family val="2"/>
      <charset val="238"/>
    </font>
    <font>
      <b/>
      <sz val="11"/>
      <color rgb="FFFFFFFF"/>
      <name val="Arial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245A3B"/>
      </patternFill>
    </fill>
    <fill>
      <patternFill patternType="solid">
        <fgColor rgb="FFFFF2CC"/>
      </patternFill>
    </fill>
    <fill>
      <patternFill patternType="solid">
        <fgColor rgb="FFEAF1F8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2" fontId="1" fillId="0" borderId="0" xfId="1" applyNumberFormat="1" applyFont="1" applyAlignment="1">
      <alignment vertical="center"/>
    </xf>
    <xf numFmtId="2" fontId="3" fillId="2" borderId="0" xfId="1" applyNumberFormat="1" applyFont="1" applyFill="1" applyAlignment="1">
      <alignment vertical="center" wrapText="1"/>
    </xf>
    <xf numFmtId="2" fontId="1" fillId="3" borderId="0" xfId="1" applyNumberFormat="1" applyFont="1" applyFill="1" applyAlignment="1">
      <alignment vertical="center"/>
    </xf>
    <xf numFmtId="164" fontId="1" fillId="0" borderId="0" xfId="1" applyNumberFormat="1" applyFont="1" applyAlignment="1">
      <alignment vertical="center"/>
    </xf>
    <xf numFmtId="164" fontId="1" fillId="4" borderId="0" xfId="1" applyNumberFormat="1" applyFont="1" applyFill="1" applyAlignment="1">
      <alignment vertical="center"/>
    </xf>
    <xf numFmtId="2" fontId="1" fillId="4" borderId="0" xfId="1" applyNumberFormat="1" applyFont="1" applyFill="1" applyAlignment="1">
      <alignment vertical="center"/>
    </xf>
    <xf numFmtId="2" fontId="4" fillId="0" borderId="0" xfId="1" applyNumberFormat="1" applyFont="1" applyAlignment="1">
      <alignment vertical="center" wrapText="1"/>
    </xf>
    <xf numFmtId="165" fontId="1" fillId="3" borderId="0" xfId="1" applyNumberFormat="1" applyFont="1" applyFill="1" applyAlignment="1">
      <alignment vertical="center"/>
    </xf>
    <xf numFmtId="166" fontId="1" fillId="4" borderId="0" xfId="1" applyNumberFormat="1" applyFont="1" applyFill="1" applyAlignment="1">
      <alignment vertical="center"/>
    </xf>
    <xf numFmtId="1" fontId="1" fillId="3" borderId="0" xfId="1" applyNumberFormat="1" applyFont="1" applyFill="1" applyAlignment="1">
      <alignment vertical="center"/>
    </xf>
    <xf numFmtId="1" fontId="1" fillId="4" borderId="0" xfId="1" applyNumberFormat="1" applyFont="1" applyFill="1" applyAlignment="1">
      <alignment vertical="center"/>
    </xf>
    <xf numFmtId="10" fontId="1" fillId="3" borderId="0" xfId="1" applyNumberFormat="1" applyFont="1" applyFill="1" applyAlignment="1">
      <alignment vertical="center"/>
    </xf>
    <xf numFmtId="167" fontId="1" fillId="3" borderId="0" xfId="1" applyNumberFormat="1" applyFont="1" applyFill="1" applyAlignment="1">
      <alignment vertical="center"/>
    </xf>
    <xf numFmtId="0" fontId="0" fillId="0" borderId="0" xfId="0"/>
    <xf numFmtId="2" fontId="1" fillId="0" borderId="0" xfId="1" applyNumberFormat="1" applyFont="1" applyAlignment="1">
      <alignment vertical="center" wrapText="1"/>
    </xf>
    <xf numFmtId="2" fontId="2" fillId="0" borderId="0" xfId="1" applyNumberFormat="1" applyFont="1" applyAlignment="1">
      <alignment vertical="center" wrapText="1"/>
    </xf>
    <xf numFmtId="0" fontId="0" fillId="0" borderId="0" xfId="0"/>
    <xf numFmtId="2" fontId="1" fillId="3" borderId="0" xfId="1" applyNumberFormat="1" applyFont="1" applyFill="1" applyAlignment="1">
      <alignment vertical="center" wrapText="1"/>
    </xf>
    <xf numFmtId="2" fontId="6" fillId="0" borderId="0" xfId="1" applyNumberFormat="1" applyFont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0" fillId="6" borderId="0" xfId="0" applyFill="1"/>
    <xf numFmtId="0" fontId="0" fillId="7" borderId="0" xfId="0" applyFill="1"/>
    <xf numFmtId="0" fontId="0" fillId="7" borderId="1" xfId="0" applyFill="1" applyBorder="1"/>
    <xf numFmtId="0" fontId="0" fillId="8" borderId="0" xfId="0" applyFill="1"/>
    <xf numFmtId="0" fontId="0" fillId="8" borderId="1" xfId="0" applyFill="1" applyBorder="1"/>
    <xf numFmtId="0" fontId="0" fillId="9" borderId="0" xfId="0" applyFill="1"/>
    <xf numFmtId="0" fontId="0" fillId="9" borderId="1" xfId="0" applyFill="1" applyBorder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0" fillId="11" borderId="0" xfId="0" applyFill="1"/>
    <xf numFmtId="2" fontId="0" fillId="0" borderId="1" xfId="0" applyNumberFormat="1" applyBorder="1"/>
    <xf numFmtId="0" fontId="0" fillId="12" borderId="0" xfId="0" applyFill="1" applyBorder="1"/>
    <xf numFmtId="0" fontId="0" fillId="12" borderId="0" xfId="0" applyFill="1"/>
    <xf numFmtId="2" fontId="7" fillId="0" borderId="0" xfId="1" applyNumberFormat="1" applyFont="1" applyAlignment="1">
      <alignment vertical="center" wrapText="1"/>
    </xf>
    <xf numFmtId="2" fontId="6" fillId="0" borderId="0" xfId="1" applyNumberFormat="1" applyFont="1" applyAlignment="1">
      <alignment vertical="center"/>
    </xf>
    <xf numFmtId="2" fontId="6" fillId="3" borderId="0" xfId="1" applyNumberFormat="1" applyFont="1" applyFill="1" applyAlignment="1">
      <alignment vertical="center"/>
    </xf>
    <xf numFmtId="2" fontId="1" fillId="3" borderId="1" xfId="1" applyNumberFormat="1" applyFont="1" applyFill="1" applyBorder="1" applyAlignment="1">
      <alignment vertical="center"/>
    </xf>
    <xf numFmtId="165" fontId="1" fillId="0" borderId="0" xfId="1" applyNumberFormat="1" applyFont="1" applyAlignment="1">
      <alignment vertical="center"/>
    </xf>
    <xf numFmtId="165" fontId="0" fillId="0" borderId="0" xfId="0" applyNumberFormat="1"/>
    <xf numFmtId="2" fontId="8" fillId="2" borderId="0" xfId="1" applyNumberFormat="1" applyFont="1" applyFill="1" applyAlignment="1">
      <alignment vertical="center" wrapText="1"/>
    </xf>
    <xf numFmtId="2" fontId="1" fillId="5" borderId="0" xfId="1" applyNumberFormat="1" applyFont="1" applyFill="1" applyAlignment="1">
      <alignment vertical="center"/>
    </xf>
    <xf numFmtId="0" fontId="1" fillId="4" borderId="0" xfId="1" applyNumberFormat="1" applyFont="1" applyFill="1" applyAlignment="1">
      <alignment vertical="center"/>
    </xf>
    <xf numFmtId="2" fontId="1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5A3B"/>
  </sheetPr>
  <dimension ref="A1:J43"/>
  <sheetViews>
    <sheetView showGridLines="0" topLeftCell="A23" workbookViewId="0">
      <selection activeCell="A15" sqref="A15"/>
    </sheetView>
  </sheetViews>
  <sheetFormatPr defaultRowHeight="14.25"/>
  <cols>
    <col min="1" max="8" width="17" customWidth="1"/>
  </cols>
  <sheetData>
    <row r="1" spans="1:9" ht="21" customHeight="1">
      <c r="A1" s="1"/>
      <c r="B1" s="1"/>
      <c r="C1" s="1"/>
      <c r="D1" s="1"/>
      <c r="E1" s="1"/>
      <c r="F1" s="1"/>
      <c r="G1" s="1"/>
      <c r="H1" s="1"/>
    </row>
    <row r="2" spans="1:9" ht="21" customHeight="1">
      <c r="A2" s="16" t="s">
        <v>0</v>
      </c>
      <c r="B2" s="16"/>
      <c r="C2" s="16"/>
      <c r="D2" s="16"/>
      <c r="E2" s="16"/>
      <c r="F2" s="16"/>
      <c r="G2" s="16"/>
      <c r="H2" s="16"/>
    </row>
    <row r="3" spans="1:9" ht="21" customHeight="1">
      <c r="A3" s="1"/>
      <c r="B3" s="1"/>
      <c r="C3" s="1"/>
      <c r="D3" s="1"/>
      <c r="E3" s="1"/>
      <c r="F3" s="1"/>
      <c r="G3" s="1"/>
      <c r="H3" s="1"/>
    </row>
    <row r="4" spans="1:9" ht="21" customHeight="1">
      <c r="A4" s="15" t="s">
        <v>1</v>
      </c>
      <c r="B4" s="15"/>
      <c r="C4" s="15"/>
      <c r="D4" s="15"/>
      <c r="E4" s="15"/>
      <c r="F4" s="15"/>
      <c r="G4" s="15"/>
      <c r="H4" s="15"/>
    </row>
    <row r="5" spans="1:9" ht="21" customHeight="1">
      <c r="A5" s="1"/>
      <c r="B5" s="1"/>
      <c r="C5" s="1"/>
      <c r="D5" s="1"/>
      <c r="E5" s="1"/>
      <c r="F5" s="1"/>
      <c r="G5" s="1"/>
      <c r="H5" s="1"/>
    </row>
    <row r="6" spans="1:9" ht="21" customHeight="1">
      <c r="A6" s="15" t="s">
        <v>2</v>
      </c>
      <c r="B6" s="15"/>
      <c r="C6" s="15"/>
      <c r="D6" s="15"/>
      <c r="E6" s="15"/>
      <c r="F6" s="15"/>
      <c r="G6" s="15"/>
      <c r="H6" s="15"/>
    </row>
    <row r="7" spans="1:9" ht="21" customHeight="1">
      <c r="A7" s="1"/>
      <c r="B7" s="1"/>
      <c r="C7" s="1"/>
      <c r="D7" s="1"/>
      <c r="E7" s="1"/>
      <c r="F7" s="1"/>
      <c r="G7" s="1"/>
      <c r="H7" s="1"/>
    </row>
    <row r="8" spans="1:9" ht="21" customHeight="1">
      <c r="A8" s="15" t="s">
        <v>3</v>
      </c>
      <c r="B8" s="15"/>
      <c r="C8" s="15"/>
      <c r="D8" s="15"/>
      <c r="E8" s="15"/>
      <c r="F8" s="15"/>
      <c r="G8" s="15"/>
      <c r="H8" s="15"/>
    </row>
    <row r="9" spans="1:9" ht="21" customHeight="1">
      <c r="A9" s="1"/>
      <c r="B9" s="1"/>
      <c r="C9" s="1"/>
      <c r="D9" s="1"/>
      <c r="E9" s="1"/>
      <c r="F9" s="1"/>
      <c r="G9" s="1"/>
      <c r="H9" s="1"/>
    </row>
    <row r="10" spans="1:9" ht="21" customHeight="1">
      <c r="A10" s="15" t="s">
        <v>4</v>
      </c>
      <c r="B10" s="15"/>
      <c r="C10" s="15"/>
      <c r="D10" s="15"/>
      <c r="E10" s="15"/>
      <c r="F10" s="15"/>
      <c r="G10" s="15"/>
      <c r="H10" s="15"/>
    </row>
    <row r="11" spans="1:9" ht="21" customHeight="1">
      <c r="A11" s="1"/>
      <c r="B11" s="1"/>
      <c r="C11" s="1"/>
      <c r="D11" s="1"/>
      <c r="E11" s="1"/>
      <c r="F11" s="1"/>
      <c r="G11" s="1"/>
      <c r="H11" s="1"/>
    </row>
    <row r="12" spans="1:9" ht="23.1" customHeight="1">
      <c r="A12" s="15" t="s">
        <v>5</v>
      </c>
      <c r="B12" s="15"/>
      <c r="C12" s="15"/>
      <c r="D12" s="15"/>
      <c r="E12" s="15"/>
      <c r="F12" s="15"/>
      <c r="G12" s="15"/>
      <c r="H12" s="15"/>
      <c r="I12" s="17"/>
    </row>
    <row r="13" spans="1:9" ht="21" customHeight="1">
      <c r="A13" s="1"/>
      <c r="B13" s="1"/>
      <c r="C13" s="1"/>
      <c r="D13" s="1"/>
      <c r="E13" s="1"/>
      <c r="F13" s="1"/>
      <c r="G13" s="1"/>
      <c r="H13" s="1"/>
    </row>
    <row r="14" spans="1:9" ht="21" customHeight="1">
      <c r="A14" s="15" t="s">
        <v>6</v>
      </c>
      <c r="B14" s="15"/>
      <c r="C14" s="15"/>
      <c r="D14" s="15"/>
      <c r="E14" s="15"/>
      <c r="F14" s="15"/>
      <c r="G14" s="15"/>
      <c r="H14" s="15"/>
    </row>
    <row r="15" spans="1:9" ht="21" customHeight="1">
      <c r="A15" s="1"/>
      <c r="B15" s="1"/>
      <c r="C15" s="1"/>
      <c r="D15" s="1"/>
      <c r="E15" s="1"/>
      <c r="F15" s="1"/>
      <c r="G15" s="1"/>
      <c r="H15" s="1"/>
    </row>
    <row r="16" spans="1:9" ht="21" customHeight="1">
      <c r="A16" s="15" t="s">
        <v>7</v>
      </c>
      <c r="B16" s="15"/>
      <c r="C16" s="15"/>
      <c r="D16" s="15"/>
      <c r="E16" s="15"/>
      <c r="F16" s="15"/>
      <c r="G16" s="15"/>
      <c r="H16" s="15"/>
    </row>
    <row r="17" spans="1:10" ht="21" customHeight="1">
      <c r="A17" s="1"/>
      <c r="B17" s="1"/>
      <c r="C17" s="1"/>
      <c r="D17" s="1"/>
      <c r="E17" s="1"/>
      <c r="F17" s="1"/>
      <c r="G17" s="1"/>
      <c r="H17" s="1"/>
    </row>
    <row r="18" spans="1:10" ht="21" customHeight="1">
      <c r="A18" s="15" t="s">
        <v>8</v>
      </c>
      <c r="B18" s="15"/>
      <c r="C18" s="15"/>
      <c r="D18" s="15"/>
      <c r="E18" s="15"/>
      <c r="F18" s="15"/>
      <c r="G18" s="15"/>
      <c r="H18" s="15"/>
    </row>
    <row r="19" spans="1:10" ht="21" customHeight="1">
      <c r="A19" s="1"/>
      <c r="B19" s="1"/>
      <c r="C19" s="1"/>
      <c r="D19" s="1"/>
      <c r="E19" s="1"/>
      <c r="F19" s="1"/>
      <c r="G19" s="1"/>
      <c r="H19" s="1"/>
    </row>
    <row r="20" spans="1:10" ht="21" customHeight="1">
      <c r="A20" s="15" t="s">
        <v>9</v>
      </c>
      <c r="B20" s="15"/>
      <c r="C20" s="15"/>
      <c r="D20" s="15"/>
      <c r="E20" s="15"/>
      <c r="F20" s="15"/>
      <c r="G20" s="15"/>
      <c r="H20" s="15"/>
      <c r="I20" s="17"/>
      <c r="J20" s="17"/>
    </row>
    <row r="21" spans="1:10" ht="21" customHeight="1">
      <c r="A21" s="1"/>
      <c r="B21" s="1"/>
      <c r="C21" s="1"/>
      <c r="D21" s="1"/>
      <c r="E21" s="1"/>
      <c r="F21" s="1"/>
      <c r="G21" s="1"/>
      <c r="H21" s="1"/>
    </row>
    <row r="22" spans="1:10" ht="21" customHeight="1">
      <c r="A22" s="15" t="s">
        <v>10</v>
      </c>
      <c r="B22" s="15"/>
      <c r="C22" s="15"/>
      <c r="D22" s="15"/>
      <c r="E22" s="15"/>
      <c r="F22" s="15"/>
      <c r="G22" s="15"/>
      <c r="H22" s="15"/>
    </row>
    <row r="23" spans="1:10" ht="21" customHeight="1">
      <c r="A23" s="1"/>
      <c r="B23" s="1"/>
      <c r="C23" s="1"/>
      <c r="D23" s="1"/>
      <c r="E23" s="1"/>
      <c r="F23" s="1"/>
      <c r="G23" s="1"/>
      <c r="H23" s="1"/>
    </row>
    <row r="24" spans="1:10" ht="27.6" customHeight="1">
      <c r="A24" s="15" t="s">
        <v>11</v>
      </c>
      <c r="B24" s="15"/>
      <c r="C24" s="15"/>
      <c r="D24" s="15"/>
      <c r="E24" s="15"/>
      <c r="F24" s="15"/>
      <c r="G24" s="15"/>
      <c r="H24" s="15"/>
    </row>
    <row r="25" spans="1:10" ht="21" customHeight="1">
      <c r="A25" s="1"/>
      <c r="B25" s="1"/>
      <c r="C25" s="1"/>
      <c r="D25" s="1"/>
      <c r="E25" s="1"/>
      <c r="F25" s="1"/>
      <c r="G25" s="1"/>
      <c r="H25" s="1"/>
    </row>
    <row r="26" spans="1:10" ht="21" customHeight="1">
      <c r="A26" s="15" t="s">
        <v>12</v>
      </c>
      <c r="B26" s="15"/>
      <c r="C26" s="15"/>
      <c r="D26" s="15"/>
      <c r="E26" s="15"/>
      <c r="F26" s="15"/>
      <c r="G26" s="15"/>
      <c r="H26" s="15"/>
    </row>
    <row r="27" spans="1:10" ht="21" customHeight="1">
      <c r="A27" s="1"/>
      <c r="B27" s="1"/>
      <c r="C27" s="1"/>
      <c r="D27" s="1"/>
      <c r="E27" s="1"/>
      <c r="F27" s="1"/>
      <c r="G27" s="1"/>
      <c r="H27" s="1"/>
    </row>
    <row r="28" spans="1:10" ht="21" customHeight="1">
      <c r="A28" s="1"/>
      <c r="B28" s="1"/>
      <c r="C28" s="1"/>
      <c r="D28" s="1"/>
      <c r="E28" s="1"/>
      <c r="F28" s="1"/>
      <c r="G28" s="1"/>
      <c r="H28" s="1"/>
    </row>
    <row r="29" spans="1:10" ht="21" customHeight="1">
      <c r="A29" s="1"/>
      <c r="B29" s="1"/>
      <c r="C29" s="1"/>
      <c r="D29" s="1"/>
      <c r="E29" s="1"/>
      <c r="F29" s="1"/>
      <c r="G29" s="1"/>
      <c r="H29" s="1"/>
    </row>
    <row r="30" spans="1:10" ht="21" customHeight="1">
      <c r="A30" s="15" t="s">
        <v>13</v>
      </c>
      <c r="B30" s="15"/>
      <c r="C30" s="15"/>
      <c r="D30" s="15"/>
      <c r="E30" s="15"/>
      <c r="F30" s="15"/>
      <c r="G30" s="15"/>
      <c r="H30" s="15"/>
    </row>
    <row r="31" spans="1:10" ht="21" customHeight="1">
      <c r="A31" s="1"/>
      <c r="B31" s="1"/>
      <c r="C31" s="1"/>
      <c r="D31" s="1"/>
      <c r="E31" s="1"/>
      <c r="F31" s="1"/>
      <c r="G31" s="1"/>
      <c r="H31" s="1"/>
    </row>
    <row r="32" spans="1:10" ht="21" customHeight="1">
      <c r="A32" s="15"/>
      <c r="B32" s="15"/>
      <c r="C32" s="15"/>
      <c r="D32" s="15"/>
      <c r="E32" s="15"/>
      <c r="F32" s="15"/>
      <c r="G32" s="15"/>
      <c r="H32" s="15"/>
    </row>
    <row r="33" spans="1:8" ht="23.1" customHeight="1">
      <c r="A33" s="1"/>
      <c r="B33" s="1"/>
      <c r="C33" s="1"/>
      <c r="D33" s="1"/>
      <c r="E33" s="1"/>
      <c r="F33" s="1"/>
      <c r="G33" s="1"/>
      <c r="H33" s="1"/>
    </row>
    <row r="34" spans="1:8" ht="23.1" customHeight="1">
      <c r="A34" s="1"/>
      <c r="B34" s="1"/>
      <c r="C34" s="1"/>
      <c r="D34" s="1"/>
      <c r="E34" s="1"/>
      <c r="F34" s="1"/>
      <c r="G34" s="1"/>
      <c r="H34" s="1"/>
    </row>
    <row r="35" spans="1:8" ht="23.1" customHeight="1">
      <c r="A35" s="1"/>
      <c r="B35" s="1"/>
      <c r="C35" s="1"/>
      <c r="D35" s="1"/>
      <c r="E35" s="1"/>
      <c r="F35" s="1"/>
      <c r="G35" s="1"/>
      <c r="H35" s="1"/>
    </row>
    <row r="36" spans="1:8" ht="23.1" customHeight="1">
      <c r="A36" s="1"/>
      <c r="B36" s="1"/>
      <c r="C36" s="1"/>
      <c r="D36" s="1"/>
      <c r="E36" s="1"/>
      <c r="F36" s="1"/>
      <c r="G36" s="1"/>
      <c r="H36" s="1"/>
    </row>
    <row r="37" spans="1:8" ht="23.1" customHeight="1">
      <c r="A37" s="1"/>
      <c r="B37" s="1"/>
      <c r="C37" s="1"/>
      <c r="D37" s="1"/>
      <c r="E37" s="1"/>
      <c r="F37" s="1"/>
      <c r="G37" s="1"/>
      <c r="H37" s="1"/>
    </row>
    <row r="38" spans="1:8" ht="23.1" customHeight="1">
      <c r="A38" s="1"/>
      <c r="B38" s="1"/>
      <c r="C38" s="1"/>
      <c r="D38" s="1"/>
      <c r="E38" s="1"/>
      <c r="F38" s="1"/>
      <c r="G38" s="1"/>
      <c r="H38" s="1"/>
    </row>
    <row r="39" spans="1:8" ht="23.1" customHeight="1">
      <c r="A39" s="1"/>
      <c r="B39" s="1"/>
      <c r="C39" s="1"/>
      <c r="D39" s="1"/>
      <c r="E39" s="1"/>
      <c r="F39" s="1"/>
      <c r="G39" s="1"/>
      <c r="H39" s="1"/>
    </row>
    <row r="40" spans="1:8" ht="23.1" customHeight="1">
      <c r="A40" s="1"/>
      <c r="B40" s="1"/>
      <c r="C40" s="1"/>
      <c r="D40" s="1"/>
      <c r="E40" s="1"/>
      <c r="F40" s="1"/>
      <c r="G40" s="1"/>
      <c r="H40" s="1"/>
    </row>
    <row r="41" spans="1:8" ht="23.1" customHeight="1">
      <c r="A41" s="1"/>
      <c r="B41" s="1"/>
      <c r="C41" s="1"/>
      <c r="D41" s="1"/>
      <c r="E41" s="1"/>
      <c r="F41" s="1"/>
      <c r="G41" s="1"/>
      <c r="H41" s="1"/>
    </row>
    <row r="42" spans="1:8" ht="23.1" customHeight="1">
      <c r="A42" s="1"/>
      <c r="B42" s="1"/>
      <c r="C42" s="1"/>
      <c r="D42" s="1"/>
      <c r="E42" s="1"/>
      <c r="F42" s="1"/>
      <c r="G42" s="1"/>
      <c r="H42" s="1"/>
    </row>
    <row r="43" spans="1:8" ht="23.1" customHeight="1">
      <c r="A43" s="1"/>
      <c r="B43" s="1"/>
      <c r="C43" s="1"/>
      <c r="D43" s="1"/>
      <c r="E43" s="1"/>
      <c r="F43" s="1"/>
      <c r="G43" s="1"/>
      <c r="H43" s="1"/>
    </row>
  </sheetData>
  <mergeCells count="15">
    <mergeCell ref="A32:H32"/>
    <mergeCell ref="A12:I12"/>
    <mergeCell ref="A20:J20"/>
    <mergeCell ref="A22:H22"/>
    <mergeCell ref="A24:H24"/>
    <mergeCell ref="A26:H26"/>
    <mergeCell ref="A30:H30"/>
    <mergeCell ref="A10:H10"/>
    <mergeCell ref="A14:H14"/>
    <mergeCell ref="A16:H16"/>
    <mergeCell ref="A18:H18"/>
    <mergeCell ref="A2:H2"/>
    <mergeCell ref="A4:H4"/>
    <mergeCell ref="A6:H6"/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5A3B"/>
  </sheetPr>
  <dimension ref="A1:O82"/>
  <sheetViews>
    <sheetView showGridLines="0" workbookViewId="0">
      <pane ySplit="8" topLeftCell="A9" activePane="bottomLeft" state="frozen"/>
      <selection pane="bottomLeft" activeCell="K25" sqref="K25"/>
    </sheetView>
  </sheetViews>
  <sheetFormatPr defaultRowHeight="14.25"/>
  <cols>
    <col min="1" max="3" width="13" customWidth="1"/>
    <col min="4" max="4" width="14.625" customWidth="1"/>
    <col min="5" max="9" width="13" customWidth="1"/>
    <col min="10" max="10" width="29" customWidth="1"/>
    <col min="11" max="11" width="32.75" customWidth="1"/>
    <col min="12" max="12" width="36" customWidth="1"/>
    <col min="13" max="13" width="13.625" customWidth="1"/>
  </cols>
  <sheetData>
    <row r="1" spans="1:14" ht="21.95" customHeight="1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4" ht="21.95" hidden="1" customHeight="1">
      <c r="A2" s="15" t="s">
        <v>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4" ht="21.95" hidden="1" customHeight="1">
      <c r="A3" s="15" t="s">
        <v>16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4" ht="21.95" hidden="1" customHeight="1">
      <c r="A4" s="15" t="s">
        <v>17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4" ht="21.95" hidden="1" customHeight="1">
      <c r="A5" s="15" t="s">
        <v>18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4" ht="21.95" hidden="1" customHeight="1">
      <c r="A6" s="15" t="s">
        <v>19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4" ht="21.95" customHeight="1">
      <c r="A7" s="15" t="s">
        <v>20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4" ht="38.1" customHeight="1">
      <c r="A8" s="2" t="s">
        <v>21</v>
      </c>
      <c r="B8" s="2" t="s">
        <v>22</v>
      </c>
      <c r="C8" s="2" t="s">
        <v>23</v>
      </c>
      <c r="D8" s="2" t="s">
        <v>68</v>
      </c>
      <c r="E8" s="2" t="s">
        <v>24</v>
      </c>
      <c r="F8" s="2" t="s">
        <v>25</v>
      </c>
      <c r="G8" s="1"/>
      <c r="H8" s="1"/>
      <c r="I8" s="1"/>
      <c r="J8" s="1"/>
    </row>
    <row r="9" spans="1:14" ht="23.1" customHeight="1">
      <c r="A9" s="5">
        <v>45292</v>
      </c>
      <c r="B9" s="11">
        <v>1</v>
      </c>
      <c r="C9" s="6">
        <v>197.8</v>
      </c>
      <c r="D9" s="3">
        <f>$I$11+B9*$I$12</f>
        <v>189.59819999999999</v>
      </c>
      <c r="E9" s="3">
        <f>C9-D9</f>
        <v>8.20180000000002</v>
      </c>
      <c r="F9" s="3">
        <f>E9^2</f>
        <v>67.269523240000325</v>
      </c>
      <c r="G9" s="1"/>
      <c r="H9" s="1" t="s">
        <v>26</v>
      </c>
      <c r="I9" s="10">
        <f>COUNT(B9:B32)</f>
        <v>24</v>
      </c>
      <c r="J9" s="7" t="s">
        <v>27</v>
      </c>
      <c r="L9" t="s">
        <v>85</v>
      </c>
    </row>
    <row r="10" spans="1:14" ht="23.1" customHeight="1">
      <c r="A10" s="5">
        <v>45323</v>
      </c>
      <c r="B10" s="11">
        <v>2</v>
      </c>
      <c r="C10" s="6">
        <v>204.24</v>
      </c>
      <c r="D10" s="3">
        <f>$I$11+B10*$I$12</f>
        <v>193.60096521739129</v>
      </c>
      <c r="E10" s="3">
        <f t="shared" ref="E10:E32" si="0">C10-D10</f>
        <v>10.639034782608718</v>
      </c>
      <c r="F10" s="3">
        <f t="shared" ref="F10:F33" si="1">E10^2</f>
        <v>113.18906110555812</v>
      </c>
      <c r="G10" s="1"/>
      <c r="H10" s="1" t="s">
        <v>28</v>
      </c>
      <c r="I10" s="11">
        <v>2</v>
      </c>
      <c r="J10" s="7" t="s">
        <v>29</v>
      </c>
      <c r="L10" t="s">
        <v>89</v>
      </c>
      <c r="M10" t="s">
        <v>90</v>
      </c>
    </row>
    <row r="11" spans="1:14" ht="23.1" customHeight="1">
      <c r="A11" s="5">
        <v>45352</v>
      </c>
      <c r="B11" s="11">
        <v>3</v>
      </c>
      <c r="C11" s="6">
        <v>202.29</v>
      </c>
      <c r="D11" s="3">
        <f t="shared" ref="D10:D32" si="2">$I$11+B11*$I$12</f>
        <v>197.60373043478262</v>
      </c>
      <c r="E11" s="3">
        <f t="shared" si="0"/>
        <v>4.6862695652173727</v>
      </c>
      <c r="F11" s="3">
        <f t="shared" si="1"/>
        <v>21.961122437882622</v>
      </c>
      <c r="G11" s="1"/>
      <c r="H11" s="1" t="s">
        <v>30</v>
      </c>
      <c r="I11" s="8">
        <f>INTERCEPT(C9:C32,B9:B32)</f>
        <v>185.59543478260869</v>
      </c>
      <c r="J11" s="7" t="s">
        <v>92</v>
      </c>
      <c r="K11" t="s">
        <v>31</v>
      </c>
      <c r="L11" s="20" cm="1">
        <f t="array" ref="L11:M15">LINEST(C9:C32,B9:B32,TRUE,TRUE)</f>
        <v>4.0027652173913042</v>
      </c>
      <c r="M11" s="20">
        <v>185.59543478260869</v>
      </c>
      <c r="N11" t="s">
        <v>30</v>
      </c>
    </row>
    <row r="12" spans="1:14" ht="23.1" customHeight="1">
      <c r="A12" s="5">
        <v>45383</v>
      </c>
      <c r="B12" s="11">
        <v>4</v>
      </c>
      <c r="C12" s="6">
        <v>184.1</v>
      </c>
      <c r="D12" s="3">
        <f t="shared" si="2"/>
        <v>201.60649565217392</v>
      </c>
      <c r="E12" s="3">
        <f t="shared" si="0"/>
        <v>-17.506495652173925</v>
      </c>
      <c r="F12" s="3">
        <f t="shared" si="1"/>
        <v>306.4773900195845</v>
      </c>
      <c r="G12" s="1"/>
      <c r="H12" s="1" t="s">
        <v>31</v>
      </c>
      <c r="I12" s="8">
        <f>SLOPE(C9:C32,B9:B32)</f>
        <v>4.0027652173913042</v>
      </c>
      <c r="J12" s="7" t="s">
        <v>91</v>
      </c>
      <c r="K12" t="s">
        <v>94</v>
      </c>
      <c r="L12" s="20">
        <v>0.23945022724651349</v>
      </c>
      <c r="M12" s="20">
        <v>3.421430107360043</v>
      </c>
      <c r="N12" t="s">
        <v>94</v>
      </c>
    </row>
    <row r="13" spans="1:14" ht="23.1" customHeight="1">
      <c r="A13" s="5">
        <v>45413</v>
      </c>
      <c r="B13" s="11">
        <v>5</v>
      </c>
      <c r="C13" s="6">
        <v>204.11</v>
      </c>
      <c r="D13" s="3">
        <f t="shared" si="2"/>
        <v>205.60926086956522</v>
      </c>
      <c r="E13" s="3">
        <f t="shared" si="0"/>
        <v>-1.4992608695652052</v>
      </c>
      <c r="F13" s="3">
        <f>E13^2</f>
        <v>2.2477831550094152</v>
      </c>
      <c r="G13" s="1"/>
      <c r="H13" s="1" t="s">
        <v>32</v>
      </c>
      <c r="I13" s="8">
        <f>SUM(F9:F32)</f>
        <v>1450.6112066086966</v>
      </c>
      <c r="J13" s="7" t="s">
        <v>33</v>
      </c>
      <c r="K13" s="27" t="s">
        <v>86</v>
      </c>
      <c r="L13" s="28">
        <v>0.92701716504132625</v>
      </c>
      <c r="M13" s="31">
        <v>8.1201522786009388</v>
      </c>
      <c r="N13" s="32" t="s">
        <v>93</v>
      </c>
    </row>
    <row r="14" spans="1:14" ht="23.1" customHeight="1">
      <c r="A14" s="5">
        <v>45444</v>
      </c>
      <c r="B14" s="11">
        <v>6</v>
      </c>
      <c r="C14" s="6">
        <v>205.09</v>
      </c>
      <c r="D14" s="3">
        <f t="shared" si="2"/>
        <v>209.61202608695652</v>
      </c>
      <c r="E14" s="3">
        <f t="shared" si="0"/>
        <v>-4.5220260869565152</v>
      </c>
      <c r="F14" s="3">
        <f t="shared" si="1"/>
        <v>20.448719931115253</v>
      </c>
      <c r="G14" s="1"/>
      <c r="H14" s="1" t="s">
        <v>34</v>
      </c>
      <c r="I14" s="8">
        <f>SQRT(I13/(I9-I10))</f>
        <v>8.1201522786009388</v>
      </c>
      <c r="J14" s="7" t="s">
        <v>35</v>
      </c>
      <c r="K14" s="23" t="s">
        <v>87</v>
      </c>
      <c r="L14" s="24">
        <v>279.44074305221801</v>
      </c>
      <c r="M14" s="21">
        <v>22</v>
      </c>
      <c r="N14" s="22" t="s">
        <v>88</v>
      </c>
    </row>
    <row r="15" spans="1:14" ht="23.1" customHeight="1">
      <c r="A15" s="5">
        <v>45474</v>
      </c>
      <c r="B15" s="11">
        <v>7</v>
      </c>
      <c r="C15" s="6">
        <v>216.03</v>
      </c>
      <c r="D15" s="3">
        <f t="shared" si="2"/>
        <v>213.61479130434782</v>
      </c>
      <c r="E15" s="3">
        <f t="shared" si="0"/>
        <v>2.4152086956521828</v>
      </c>
      <c r="F15" s="3">
        <f t="shared" si="1"/>
        <v>5.8332330435539177</v>
      </c>
      <c r="G15" s="1"/>
      <c r="H15" s="1" t="s">
        <v>104</v>
      </c>
      <c r="I15" s="8">
        <f>AVERAGE(C9:C32)</f>
        <v>235.63</v>
      </c>
      <c r="J15" s="36" t="s">
        <v>110</v>
      </c>
      <c r="K15" s="25" t="s">
        <v>107</v>
      </c>
      <c r="L15" s="26">
        <v>18425.448793391301</v>
      </c>
      <c r="M15" s="29">
        <v>1450.6112066086962</v>
      </c>
      <c r="N15" s="30" t="s">
        <v>108</v>
      </c>
    </row>
    <row r="16" spans="1:14" ht="23.1" customHeight="1">
      <c r="A16" s="5">
        <v>45505</v>
      </c>
      <c r="B16" s="11">
        <v>8</v>
      </c>
      <c r="C16" s="6">
        <v>217.47</v>
      </c>
      <c r="D16" s="3">
        <f t="shared" si="2"/>
        <v>217.61755652173912</v>
      </c>
      <c r="E16" s="3">
        <f t="shared" si="0"/>
        <v>-0.14755652173911926</v>
      </c>
      <c r="F16" s="3">
        <f t="shared" si="1"/>
        <v>2.1772927107747177E-2</v>
      </c>
      <c r="G16" s="1"/>
      <c r="H16" s="1" t="s">
        <v>105</v>
      </c>
      <c r="I16" s="8" cm="1">
        <f t="array" ref="I16">SUMSQ(C9:C32-$I$15)</f>
        <v>19876.059999999998</v>
      </c>
      <c r="J16" s="7" t="s">
        <v>102</v>
      </c>
      <c r="K16" t="s">
        <v>106</v>
      </c>
      <c r="L16" s="20">
        <f>SUM(L15+M15)</f>
        <v>19876.059999999998</v>
      </c>
      <c r="M16" s="20"/>
    </row>
    <row r="17" spans="1:15" ht="23.1" customHeight="1">
      <c r="A17" s="5">
        <v>45536</v>
      </c>
      <c r="B17" s="11">
        <v>9</v>
      </c>
      <c r="C17" s="6">
        <v>210.03</v>
      </c>
      <c r="D17" s="3">
        <f t="shared" si="2"/>
        <v>221.62032173913042</v>
      </c>
      <c r="E17" s="3">
        <f t="shared" si="0"/>
        <v>-11.590321739130417</v>
      </c>
      <c r="F17" s="3">
        <f t="shared" si="1"/>
        <v>134.33555801655913</v>
      </c>
      <c r="G17" s="1"/>
      <c r="H17" s="1" t="s">
        <v>36</v>
      </c>
      <c r="I17" s="8">
        <f>N19</f>
        <v>2.0738730679040258</v>
      </c>
      <c r="J17" s="7" t="s">
        <v>37</v>
      </c>
    </row>
    <row r="18" spans="1:15" ht="23.1" customHeight="1">
      <c r="A18" s="5">
        <v>45566</v>
      </c>
      <c r="B18" s="11">
        <v>10</v>
      </c>
      <c r="C18" s="6">
        <v>226.18</v>
      </c>
      <c r="D18" s="3">
        <f t="shared" si="2"/>
        <v>225.62308695652172</v>
      </c>
      <c r="E18" s="3">
        <f t="shared" si="0"/>
        <v>0.55691304347828918</v>
      </c>
      <c r="F18" s="3">
        <f t="shared" si="1"/>
        <v>0.3101521379962508</v>
      </c>
      <c r="G18" s="1"/>
      <c r="H18" s="1" t="s">
        <v>38</v>
      </c>
      <c r="I18" s="8">
        <f>L15/L16</f>
        <v>0.92701716504132625</v>
      </c>
      <c r="J18" s="7" t="s">
        <v>39</v>
      </c>
      <c r="K18" s="20"/>
      <c r="L18" s="20" t="s">
        <v>95</v>
      </c>
      <c r="M18" s="20" t="s">
        <v>96</v>
      </c>
      <c r="N18" s="34" t="s">
        <v>99</v>
      </c>
    </row>
    <row r="19" spans="1:15" ht="23.1" customHeight="1">
      <c r="A19" s="5">
        <v>45597</v>
      </c>
      <c r="B19" s="11">
        <v>11</v>
      </c>
      <c r="C19" s="6">
        <v>227.43</v>
      </c>
      <c r="D19" s="3">
        <f t="shared" si="2"/>
        <v>229.62585217391305</v>
      </c>
      <c r="E19" s="3">
        <f t="shared" si="0"/>
        <v>-2.195852173913039</v>
      </c>
      <c r="F19" s="3">
        <f t="shared" si="1"/>
        <v>4.8217667696786188</v>
      </c>
      <c r="G19" s="1"/>
      <c r="H19" s="1" t="s">
        <v>40</v>
      </c>
      <c r="I19" s="9">
        <v>0.05</v>
      </c>
      <c r="J19" s="7" t="s">
        <v>41</v>
      </c>
      <c r="K19" s="20"/>
      <c r="L19" s="20">
        <f>ABS(L11/L12)</f>
        <v>16.716481180326742</v>
      </c>
      <c r="M19" s="20">
        <f>ABS(M11/M12)</f>
        <v>54.244987902387145</v>
      </c>
      <c r="N19" s="35">
        <f>_xlfn.T.INV.2T(I19,$M$14)</f>
        <v>2.0738730679040258</v>
      </c>
      <c r="O19" t="s">
        <v>101</v>
      </c>
    </row>
    <row r="20" spans="1:15" ht="23.1" customHeight="1">
      <c r="A20" s="5">
        <v>45627</v>
      </c>
      <c r="B20" s="11">
        <v>12</v>
      </c>
      <c r="C20" s="6">
        <v>233.6</v>
      </c>
      <c r="D20" s="3">
        <f t="shared" si="2"/>
        <v>233.62861739130435</v>
      </c>
      <c r="E20" s="3">
        <f t="shared" si="0"/>
        <v>-2.8617391304351258E-2</v>
      </c>
      <c r="F20" s="3">
        <f t="shared" si="1"/>
        <v>8.1895508506635902E-4</v>
      </c>
      <c r="G20" s="1"/>
      <c r="H20" s="1" t="s">
        <v>42</v>
      </c>
      <c r="I20" s="9">
        <v>0.05</v>
      </c>
      <c r="J20" s="7" t="s">
        <v>43</v>
      </c>
      <c r="K20" s="20" t="s">
        <v>97</v>
      </c>
      <c r="L20" s="33">
        <f>_xlfn.T.DIST.2T(L19,$M$14)</f>
        <v>5.448352584595532E-14</v>
      </c>
      <c r="M20" s="33">
        <f>_xlfn.T.DIST.2T(M19,$M$14)</f>
        <v>6.3449889190563315E-25</v>
      </c>
    </row>
    <row r="21" spans="1:15" ht="23.1" customHeight="1">
      <c r="A21" s="5">
        <v>45658</v>
      </c>
      <c r="B21" s="11">
        <v>13</v>
      </c>
      <c r="C21" s="6">
        <v>243.96</v>
      </c>
      <c r="D21" s="3">
        <f>$I$11+B21*$I$12</f>
        <v>237.63138260869565</v>
      </c>
      <c r="E21" s="3">
        <f t="shared" si="0"/>
        <v>6.3286173913043626</v>
      </c>
      <c r="F21" s="3">
        <f t="shared" si="1"/>
        <v>40.051398085520034</v>
      </c>
      <c r="G21" s="1"/>
      <c r="H21" s="1"/>
      <c r="I21" s="1"/>
      <c r="J21" s="1"/>
      <c r="K21" s="20"/>
      <c r="L21" s="20" t="s">
        <v>98</v>
      </c>
      <c r="M21" s="20" t="s">
        <v>98</v>
      </c>
    </row>
    <row r="22" spans="1:15" ht="23.1" customHeight="1">
      <c r="A22" s="5">
        <v>45689</v>
      </c>
      <c r="B22" s="11">
        <v>14</v>
      </c>
      <c r="C22" s="6">
        <v>246.8</v>
      </c>
      <c r="D22" s="3">
        <f t="shared" si="2"/>
        <v>241.63414782608695</v>
      </c>
      <c r="E22" s="3">
        <f t="shared" si="0"/>
        <v>5.1658521739130663</v>
      </c>
      <c r="F22" s="3">
        <f t="shared" si="1"/>
        <v>26.686028682722352</v>
      </c>
      <c r="G22" s="1"/>
      <c r="H22" s="1" t="s">
        <v>109</v>
      </c>
      <c r="I22" s="1">
        <f>RSQ(C9:C32,B9:B32)</f>
        <v>0.92701716504132603</v>
      </c>
      <c r="J22" s="1"/>
      <c r="L22" t="s">
        <v>100</v>
      </c>
    </row>
    <row r="23" spans="1:15" ht="23.1" customHeight="1">
      <c r="A23" s="5">
        <v>45717</v>
      </c>
      <c r="B23" s="11">
        <v>15</v>
      </c>
      <c r="C23" s="6">
        <v>246.62</v>
      </c>
      <c r="D23" s="3">
        <f t="shared" si="2"/>
        <v>245.63691304347824</v>
      </c>
      <c r="E23" s="3">
        <f t="shared" si="0"/>
        <v>0.9830869565217597</v>
      </c>
      <c r="F23" s="3">
        <f t="shared" si="1"/>
        <v>0.96645996408321622</v>
      </c>
      <c r="G23" s="1"/>
      <c r="H23" s="1"/>
      <c r="J23" s="1"/>
    </row>
    <row r="24" spans="1:15" ht="23.1" customHeight="1">
      <c r="A24" s="5">
        <v>45748</v>
      </c>
      <c r="B24" s="11">
        <v>16</v>
      </c>
      <c r="C24" s="6">
        <v>237.13</v>
      </c>
      <c r="D24" s="3">
        <f t="shared" si="2"/>
        <v>249.63967826086957</v>
      </c>
      <c r="E24" s="3">
        <f t="shared" si="0"/>
        <v>-12.509678260869578</v>
      </c>
      <c r="F24" s="3">
        <f t="shared" si="1"/>
        <v>156.4920501904729</v>
      </c>
      <c r="G24" s="1"/>
      <c r="H24" s="37" t="s">
        <v>111</v>
      </c>
      <c r="I24" s="1">
        <f>AVERAGE(B9:B32)</f>
        <v>12.5</v>
      </c>
      <c r="J24" s="1"/>
    </row>
    <row r="25" spans="1:15" ht="23.1" customHeight="1">
      <c r="A25" s="5">
        <v>45778</v>
      </c>
      <c r="B25" s="11">
        <v>17</v>
      </c>
      <c r="C25" s="6">
        <v>254.84</v>
      </c>
      <c r="D25" s="3">
        <f t="shared" si="2"/>
        <v>253.64244347826087</v>
      </c>
      <c r="E25" s="3">
        <f t="shared" si="0"/>
        <v>1.1975565217391306</v>
      </c>
      <c r="F25" s="3">
        <f t="shared" si="1"/>
        <v>1.4341416227599249</v>
      </c>
      <c r="G25" s="1"/>
      <c r="H25" s="37" t="s">
        <v>103</v>
      </c>
      <c r="I25" s="1">
        <f>_xlfn.STDEV.P(B9:B32)</f>
        <v>6.9221865524317288</v>
      </c>
      <c r="J25" s="1"/>
    </row>
    <row r="26" spans="1:15" ht="23.1" customHeight="1">
      <c r="A26" s="5">
        <v>45809</v>
      </c>
      <c r="B26" s="11">
        <v>18</v>
      </c>
      <c r="C26" s="6">
        <v>267.02</v>
      </c>
      <c r="D26" s="3">
        <f t="shared" si="2"/>
        <v>257.64520869565217</v>
      </c>
      <c r="E26" s="3">
        <f t="shared" si="0"/>
        <v>9.3747913043478093</v>
      </c>
      <c r="F26" s="3">
        <f t="shared" si="1"/>
        <v>87.886712000075306</v>
      </c>
      <c r="G26" s="1"/>
      <c r="H26" s="37" t="s">
        <v>112</v>
      </c>
      <c r="I26" s="1" cm="1">
        <f t="array" ref="I26">SUMSQ(B9:B32-$I$24)</f>
        <v>1150</v>
      </c>
      <c r="J26" s="1"/>
    </row>
    <row r="27" spans="1:15" ht="23.1" customHeight="1">
      <c r="A27" s="5">
        <v>45839</v>
      </c>
      <c r="B27" s="11">
        <v>19</v>
      </c>
      <c r="C27" s="6">
        <v>249.6</v>
      </c>
      <c r="D27" s="3">
        <f t="shared" si="2"/>
        <v>261.64797391304347</v>
      </c>
      <c r="E27" s="3">
        <f t="shared" si="0"/>
        <v>-12.047973913043478</v>
      </c>
      <c r="F27" s="3">
        <f t="shared" si="1"/>
        <v>145.15367540937618</v>
      </c>
      <c r="G27" s="1"/>
      <c r="H27" s="1"/>
      <c r="I27" s="1"/>
      <c r="J27" s="1"/>
    </row>
    <row r="28" spans="1:15" ht="23.1" customHeight="1">
      <c r="A28" s="5">
        <v>45870</v>
      </c>
      <c r="B28" s="11">
        <v>20</v>
      </c>
      <c r="C28" s="6">
        <v>272.67</v>
      </c>
      <c r="D28" s="3">
        <f t="shared" si="2"/>
        <v>265.65073913043477</v>
      </c>
      <c r="E28" s="3">
        <f t="shared" si="0"/>
        <v>7.0192608695652439</v>
      </c>
      <c r="F28" s="3">
        <f t="shared" si="1"/>
        <v>49.270023155009824</v>
      </c>
      <c r="G28" s="1"/>
      <c r="H28" s="1"/>
      <c r="I28" s="1"/>
      <c r="J28" s="1"/>
    </row>
    <row r="29" spans="1:15" ht="23.1" customHeight="1">
      <c r="A29" s="5">
        <v>45901</v>
      </c>
      <c r="B29" s="11">
        <v>21</v>
      </c>
      <c r="C29" s="6">
        <v>284.7</v>
      </c>
      <c r="D29" s="3">
        <f t="shared" si="2"/>
        <v>269.65350434782607</v>
      </c>
      <c r="E29" s="3">
        <f t="shared" si="0"/>
        <v>15.046495652173917</v>
      </c>
      <c r="F29" s="3">
        <f t="shared" si="1"/>
        <v>226.39703141088859</v>
      </c>
      <c r="G29" s="1"/>
      <c r="H29" s="1"/>
      <c r="I29" s="1"/>
      <c r="J29" s="1"/>
    </row>
    <row r="30" spans="1:15" ht="23.1" customHeight="1">
      <c r="A30" s="5">
        <v>45931</v>
      </c>
      <c r="B30" s="11">
        <v>22</v>
      </c>
      <c r="C30" s="6">
        <v>269.87</v>
      </c>
      <c r="D30" s="3">
        <f t="shared" si="2"/>
        <v>273.65626956521737</v>
      </c>
      <c r="E30" s="3">
        <f t="shared" si="0"/>
        <v>-3.786269565217367</v>
      </c>
      <c r="F30" s="3">
        <f t="shared" si="1"/>
        <v>14.33583722049131</v>
      </c>
      <c r="G30" s="1"/>
      <c r="H30" s="1"/>
      <c r="I30" s="1"/>
      <c r="J30" s="1"/>
    </row>
    <row r="31" spans="1:15" ht="23.1" customHeight="1">
      <c r="A31" s="5">
        <v>45962</v>
      </c>
      <c r="B31" s="11">
        <v>23</v>
      </c>
      <c r="C31" s="6">
        <v>272.73</v>
      </c>
      <c r="D31" s="3">
        <f t="shared" si="2"/>
        <v>277.65903478260867</v>
      </c>
      <c r="E31" s="3">
        <f t="shared" si="0"/>
        <v>-4.9290347826086531</v>
      </c>
      <c r="F31" s="3">
        <f t="shared" si="1"/>
        <v>24.295383888165933</v>
      </c>
      <c r="G31" s="1"/>
      <c r="H31" s="2" t="s">
        <v>45</v>
      </c>
      <c r="I31" s="37" t="s">
        <v>114</v>
      </c>
      <c r="J31" s="1"/>
    </row>
    <row r="32" spans="1:15" ht="23.1" customHeight="1">
      <c r="A32" s="5">
        <v>45992</v>
      </c>
      <c r="B32" s="11">
        <v>24</v>
      </c>
      <c r="C32" s="6">
        <v>280.81</v>
      </c>
      <c r="D32" s="3">
        <f t="shared" si="2"/>
        <v>281.66179999999997</v>
      </c>
      <c r="E32" s="3">
        <f t="shared" si="0"/>
        <v>-0.8517999999999688</v>
      </c>
      <c r="F32" s="3">
        <f>E32^2</f>
        <v>0.72556323999994687</v>
      </c>
      <c r="G32" s="1"/>
      <c r="H32" s="2" t="s">
        <v>46</v>
      </c>
      <c r="I32" s="37" t="s">
        <v>115</v>
      </c>
      <c r="J32" s="1"/>
    </row>
    <row r="33" spans="1:12" ht="23.1" customHeight="1">
      <c r="A33" s="1"/>
      <c r="B33" s="1"/>
      <c r="C33" s="1"/>
      <c r="D33" s="1"/>
      <c r="E33" s="1">
        <f>SUM(E9:E32)</f>
        <v>2.5579538487363607E-13</v>
      </c>
      <c r="F33" s="1"/>
      <c r="G33" s="1"/>
      <c r="H33" s="2" t="s">
        <v>50</v>
      </c>
      <c r="I33" s="37" t="s">
        <v>116</v>
      </c>
      <c r="J33" s="1"/>
      <c r="K33" s="1"/>
      <c r="L33" s="1"/>
    </row>
    <row r="34" spans="1:12" ht="23.1" customHeight="1">
      <c r="A34" s="1"/>
      <c r="B34" s="1"/>
      <c r="C34" s="1"/>
      <c r="D34" s="37" t="s">
        <v>126</v>
      </c>
      <c r="E34" s="1"/>
      <c r="F34" s="1"/>
      <c r="G34" s="1"/>
      <c r="H34" s="37" t="s">
        <v>127</v>
      </c>
      <c r="I34" s="1"/>
      <c r="J34" s="1"/>
      <c r="K34" s="1"/>
      <c r="L34" s="1"/>
    </row>
    <row r="35" spans="1:12" ht="23.1" customHeight="1">
      <c r="A35" s="1"/>
      <c r="B35" s="1"/>
      <c r="C35" s="1"/>
      <c r="D35" s="37" t="s">
        <v>117</v>
      </c>
      <c r="E35" s="1"/>
      <c r="F35" s="1"/>
      <c r="G35" s="1"/>
      <c r="H35" s="37" t="s">
        <v>118</v>
      </c>
      <c r="I35" s="37" t="s">
        <v>119</v>
      </c>
      <c r="J35" s="37" t="s">
        <v>120</v>
      </c>
      <c r="K35" s="1"/>
      <c r="L35" s="37" t="s">
        <v>123</v>
      </c>
    </row>
    <row r="36" spans="1:12" ht="38.1" customHeight="1">
      <c r="A36" s="2" t="s">
        <v>21</v>
      </c>
      <c r="B36" s="2" t="s">
        <v>44</v>
      </c>
      <c r="C36" s="2" t="s">
        <v>45</v>
      </c>
      <c r="D36" s="2" t="s">
        <v>46</v>
      </c>
      <c r="E36" s="2" t="s">
        <v>47</v>
      </c>
      <c r="F36" s="2" t="s">
        <v>48</v>
      </c>
      <c r="G36" s="2" t="s">
        <v>49</v>
      </c>
      <c r="H36" s="2" t="s">
        <v>50</v>
      </c>
      <c r="I36" s="2" t="s">
        <v>51</v>
      </c>
      <c r="J36" s="2" t="s">
        <v>52</v>
      </c>
      <c r="K36" s="2" t="s">
        <v>53</v>
      </c>
      <c r="L36" s="2" t="s">
        <v>54</v>
      </c>
    </row>
    <row r="37" spans="1:12" ht="23.1" customHeight="1">
      <c r="A37" s="5">
        <v>46023</v>
      </c>
      <c r="B37" s="6">
        <v>25</v>
      </c>
      <c r="C37" s="39">
        <f>B37*$I$12+$I$11</f>
        <v>285.66456521739133</v>
      </c>
      <c r="D37" s="3">
        <f>$I$14*SQRT(1+1/$I$9+(B37-$I$24)^2/$I$26)</f>
        <v>8.8115297767877845</v>
      </c>
      <c r="E37" s="3">
        <f>C37-D37*$I$17</f>
        <v>267.39057092627678</v>
      </c>
      <c r="F37" s="3">
        <f>C37+D37*$I$17</f>
        <v>303.93855950850588</v>
      </c>
      <c r="G37" s="12">
        <f>D37/ABS(C37)</f>
        <v>3.0845722044952239E-2</v>
      </c>
      <c r="H37" s="3">
        <f>$I$14*SQRT(1/$I$9+(B37-$I$24)^2/$I$26)</f>
        <v>3.421430107360043</v>
      </c>
      <c r="I37" s="1">
        <f>Realizacje!B7</f>
        <v>269.48</v>
      </c>
      <c r="J37" s="3">
        <f>I37-C37</f>
        <v>-16.184565217391309</v>
      </c>
      <c r="K37" s="38" t="s">
        <v>121</v>
      </c>
      <c r="L37" s="38" t="s">
        <v>121</v>
      </c>
    </row>
    <row r="38" spans="1:12" ht="23.1" customHeight="1">
      <c r="A38" s="5">
        <v>46054</v>
      </c>
      <c r="B38" s="6">
        <v>26</v>
      </c>
      <c r="C38" s="39">
        <f t="shared" ref="C38:C39" si="3">B38*$I$12+$I$11</f>
        <v>289.66733043478257</v>
      </c>
      <c r="D38" s="3">
        <f t="shared" ref="D38:D39" si="4">$I$14*SQRT(1+1/$I$9+(B38-$I$24)^2/$I$26)</f>
        <v>8.895718279136112</v>
      </c>
      <c r="E38" s="3">
        <f t="shared" ref="E38:E39" si="5">C38-D38*$I$17</f>
        <v>271.21873987602066</v>
      </c>
      <c r="F38" s="3">
        <f t="shared" ref="F38:F39" si="6">C38+D38*$I$17</f>
        <v>308.11592099354448</v>
      </c>
      <c r="G38" s="12">
        <f t="shared" ref="G38:G39" si="7">D38/ABS(C38)</f>
        <v>3.0710119314400722E-2</v>
      </c>
      <c r="H38" s="3">
        <f t="shared" ref="H38:H39" si="8">$I$14*SQRT(1/$I$9+(B38-$I$24)^2/$I$26)</f>
        <v>3.6327579982828939</v>
      </c>
      <c r="I38" s="1">
        <f>Realizacje!B8</f>
        <v>311.17</v>
      </c>
      <c r="J38" s="3">
        <f t="shared" ref="J38:J39" si="9">I38-C38</f>
        <v>21.502669565217445</v>
      </c>
      <c r="K38" s="38" t="s">
        <v>122</v>
      </c>
      <c r="L38" s="38" t="s">
        <v>121</v>
      </c>
    </row>
    <row r="39" spans="1:12" ht="23.1" customHeight="1">
      <c r="A39" s="5">
        <v>46082</v>
      </c>
      <c r="B39" s="6">
        <v>27</v>
      </c>
      <c r="C39" s="39">
        <f t="shared" si="3"/>
        <v>293.67009565217393</v>
      </c>
      <c r="D39" s="3">
        <f t="shared" si="4"/>
        <v>8.9855007216599656</v>
      </c>
      <c r="E39" s="3">
        <f t="shared" si="5"/>
        <v>275.03530770389114</v>
      </c>
      <c r="F39" s="3">
        <f t="shared" si="6"/>
        <v>312.30488360045672</v>
      </c>
      <c r="G39" s="12">
        <f t="shared" si="7"/>
        <v>3.059726153493848E-2</v>
      </c>
      <c r="H39" s="3">
        <f t="shared" si="8"/>
        <v>3.8473822517763598</v>
      </c>
      <c r="I39" s="1">
        <f>Realizacje!B9</f>
        <v>288.11</v>
      </c>
      <c r="J39" s="3">
        <f t="shared" si="9"/>
        <v>-5.5600956521739135</v>
      </c>
      <c r="K39" s="38" t="s">
        <v>121</v>
      </c>
      <c r="L39" s="38" t="s">
        <v>121</v>
      </c>
    </row>
    <row r="40" spans="1:12" ht="23.1" customHeight="1">
      <c r="A40" s="1"/>
      <c r="B40" s="1"/>
      <c r="C40" s="1"/>
      <c r="D40" s="37" t="s">
        <v>124</v>
      </c>
      <c r="E40" s="1"/>
      <c r="F40" s="1"/>
      <c r="G40" s="37" t="s">
        <v>113</v>
      </c>
      <c r="H40" s="1"/>
      <c r="I40" s="1"/>
      <c r="J40" s="37" t="s">
        <v>125</v>
      </c>
      <c r="K40" s="1"/>
      <c r="L40" s="1"/>
    </row>
    <row r="41" spans="1:12" ht="30" customHeight="1">
      <c r="A41" s="15" t="s">
        <v>55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42" customHeight="1">
      <c r="A42" s="18" t="s">
        <v>56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23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3.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35.1" customHeight="1">
      <c r="A45" s="19" t="s">
        <v>84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 ht="23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3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3.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3.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3.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3.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3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3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3.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3.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3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3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39.950000000000003" customHeight="1">
      <c r="A62" s="15" t="s">
        <v>57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 ht="23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3.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3.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3.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3.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3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23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3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3.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3.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3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3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3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3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3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3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3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3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3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3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</sheetData>
  <mergeCells count="11">
    <mergeCell ref="A62:L62"/>
    <mergeCell ref="A6:L6"/>
    <mergeCell ref="A7:L7"/>
    <mergeCell ref="A41:L41"/>
    <mergeCell ref="A42:L42"/>
    <mergeCell ref="A45:L45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5A3B"/>
  </sheetPr>
  <dimension ref="A1:Q87"/>
  <sheetViews>
    <sheetView showGridLines="0" tabSelected="1" workbookViewId="0">
      <pane ySplit="8" topLeftCell="A33" activePane="bottomLeft" state="frozen"/>
      <selection pane="bottomLeft" activeCell="N46" sqref="N46"/>
    </sheetView>
  </sheetViews>
  <sheetFormatPr defaultRowHeight="14.25"/>
  <cols>
    <col min="1" max="1" width="13" customWidth="1"/>
    <col min="2" max="2" width="13" style="14" customWidth="1"/>
    <col min="3" max="5" width="13" customWidth="1"/>
    <col min="6" max="6" width="15.125" customWidth="1"/>
    <col min="7" max="9" width="13" customWidth="1"/>
    <col min="10" max="10" width="27" customWidth="1"/>
    <col min="11" max="11" width="18" customWidth="1"/>
    <col min="12" max="13" width="17" customWidth="1"/>
  </cols>
  <sheetData>
    <row r="1" spans="1:17" ht="20.100000000000001" customHeight="1">
      <c r="A1" s="16" t="s">
        <v>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7" ht="20.100000000000001" customHeight="1">
      <c r="A2" s="15" t="s">
        <v>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7" ht="20.100000000000001" hidden="1" customHeight="1">
      <c r="A3" s="15" t="s">
        <v>60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7" ht="20.100000000000001" hidden="1" customHeight="1">
      <c r="A4" s="15" t="s">
        <v>61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7" ht="20.100000000000001" hidden="1" customHeight="1">
      <c r="A5" s="15" t="s">
        <v>62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7" ht="20.100000000000001" hidden="1" customHeight="1">
      <c r="A6" s="15" t="s">
        <v>63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7" ht="20.100000000000001" customHeight="1">
      <c r="A7" s="15" t="s">
        <v>64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7" ht="97.5" customHeight="1">
      <c r="A8" s="2" t="s">
        <v>21</v>
      </c>
      <c r="B8" s="2" t="s">
        <v>130</v>
      </c>
      <c r="C8" s="2" t="s">
        <v>65</v>
      </c>
      <c r="D8" s="2" t="s">
        <v>66</v>
      </c>
      <c r="E8" s="2" t="s">
        <v>67</v>
      </c>
      <c r="F8" s="2" t="s">
        <v>68</v>
      </c>
      <c r="G8" s="42" t="s">
        <v>24</v>
      </c>
      <c r="H8" s="2" t="s">
        <v>25</v>
      </c>
      <c r="I8" s="42" t="s">
        <v>128</v>
      </c>
      <c r="L8" s="1"/>
      <c r="M8" s="1"/>
    </row>
    <row r="9" spans="1:17" ht="23.1" customHeight="1">
      <c r="A9" s="5">
        <v>45292</v>
      </c>
      <c r="B9" s="6">
        <v>1</v>
      </c>
      <c r="C9" s="6">
        <v>139.30000000000001</v>
      </c>
      <c r="D9" s="6">
        <v>115</v>
      </c>
      <c r="E9" s="6">
        <v>333.59</v>
      </c>
      <c r="F9" s="3">
        <f>$M$9+$M$10*C9+$M$11*D9</f>
        <v>335.95678083692917</v>
      </c>
      <c r="G9" s="3">
        <f t="array" ref="G9:G32">E9:E32-F9:F32</f>
        <v>-2.3667808369291947</v>
      </c>
      <c r="H9" s="3">
        <f t="array" ref="H9:H32">G9:G32^2</f>
        <v>5.6016515300552596</v>
      </c>
      <c r="I9" s="1">
        <f t="array" ref="I9:I32">TREND(E9:E32,C9:D32,C9:D32,TRUE)</f>
        <v>335.95678083692917</v>
      </c>
      <c r="L9" s="1" t="s">
        <v>30</v>
      </c>
      <c r="M9" s="8">
        <f>Q14</f>
        <v>62.161390075778506</v>
      </c>
      <c r="N9" s="1"/>
    </row>
    <row r="10" spans="1:17" ht="23.1" customHeight="1">
      <c r="A10" s="5">
        <v>45323</v>
      </c>
      <c r="B10" s="6">
        <v>1</v>
      </c>
      <c r="C10" s="6">
        <v>73</v>
      </c>
      <c r="D10" s="6">
        <v>136</v>
      </c>
      <c r="E10" s="6">
        <v>237.38</v>
      </c>
      <c r="F10" s="3">
        <f>$M$9+$M$10*C10+$M$11*D10</f>
        <v>232.01953200992997</v>
      </c>
      <c r="G10" s="3">
        <v>5.3604679900700205</v>
      </c>
      <c r="H10" s="3">
        <v>28.734617072565324</v>
      </c>
      <c r="I10" s="1">
        <v>232.01953200993</v>
      </c>
      <c r="L10" s="1" t="s">
        <v>31</v>
      </c>
      <c r="M10" s="8">
        <f>P14</f>
        <v>1.6779926464093222</v>
      </c>
      <c r="N10" s="1"/>
    </row>
    <row r="11" spans="1:17" ht="23.1" customHeight="1">
      <c r="A11" s="5">
        <v>45352</v>
      </c>
      <c r="B11" s="6">
        <v>1</v>
      </c>
      <c r="C11" s="6">
        <v>81.400000000000006</v>
      </c>
      <c r="D11" s="6">
        <v>138</v>
      </c>
      <c r="E11" s="6">
        <v>254.78</v>
      </c>
      <c r="F11" s="3">
        <f>$M$9+$M$10*C11+$M$11*D11</f>
        <v>246.81120963309584</v>
      </c>
      <c r="G11" s="3">
        <v>7.9687903669041589</v>
      </c>
      <c r="H11" s="3">
        <v>63.50161991166452</v>
      </c>
      <c r="I11" s="1">
        <v>246.81120963309584</v>
      </c>
      <c r="L11" s="1" t="s">
        <v>69</v>
      </c>
      <c r="M11" s="8">
        <f>O14</f>
        <v>0.34826969666375707</v>
      </c>
      <c r="N11" s="1"/>
    </row>
    <row r="12" spans="1:17" ht="23.1" customHeight="1">
      <c r="A12" s="5">
        <v>45383</v>
      </c>
      <c r="B12" s="6">
        <v>1</v>
      </c>
      <c r="C12" s="6">
        <v>118.6</v>
      </c>
      <c r="D12" s="6">
        <v>142</v>
      </c>
      <c r="E12" s="6">
        <v>302.45</v>
      </c>
      <c r="F12" s="3">
        <f>$M$9+$M$10*C12+$M$11*D12</f>
        <v>310.62561486617761</v>
      </c>
      <c r="G12" s="3">
        <v>-8.1756148661776251</v>
      </c>
      <c r="H12" s="3">
        <v>66.840678440064593</v>
      </c>
      <c r="I12" s="1">
        <v>310.62561486617761</v>
      </c>
      <c r="L12" s="1" t="s">
        <v>26</v>
      </c>
      <c r="M12" s="10">
        <f>P17+3</f>
        <v>24</v>
      </c>
      <c r="N12" s="1"/>
    </row>
    <row r="13" spans="1:17" ht="23.1" customHeight="1">
      <c r="A13" s="5">
        <v>45413</v>
      </c>
      <c r="B13" s="6">
        <v>1</v>
      </c>
      <c r="C13" s="6">
        <v>95.7</v>
      </c>
      <c r="D13" s="6">
        <v>114</v>
      </c>
      <c r="E13" s="6">
        <v>255.56</v>
      </c>
      <c r="F13" s="3">
        <f>$M$9+$M$10*C13+$M$11*D13</f>
        <v>262.44803175681898</v>
      </c>
      <c r="G13" s="3">
        <v>-6.8880317568189753</v>
      </c>
      <c r="H13" s="3">
        <v>47.444981482946702</v>
      </c>
      <c r="I13" s="1">
        <v>262.44803175681892</v>
      </c>
      <c r="L13" s="1" t="s">
        <v>28</v>
      </c>
      <c r="M13" s="11">
        <v>3</v>
      </c>
      <c r="N13" s="1"/>
      <c r="O13" t="s">
        <v>69</v>
      </c>
      <c r="P13" t="s">
        <v>31</v>
      </c>
      <c r="Q13" t="s">
        <v>30</v>
      </c>
    </row>
    <row r="14" spans="1:17" ht="23.1" customHeight="1">
      <c r="A14" s="5">
        <v>45444</v>
      </c>
      <c r="B14" s="6">
        <v>1</v>
      </c>
      <c r="C14" s="6">
        <v>72.599999999999994</v>
      </c>
      <c r="D14" s="6">
        <v>131</v>
      </c>
      <c r="E14" s="6">
        <v>218.89</v>
      </c>
      <c r="F14" s="3">
        <f>$M$9+$M$10*C14+$M$11*D14</f>
        <v>229.60698646804747</v>
      </c>
      <c r="G14" s="3">
        <v>-10.71698646804748</v>
      </c>
      <c r="H14" s="3">
        <v>114.8537989563128</v>
      </c>
      <c r="I14" s="1">
        <v>229.60698646804747</v>
      </c>
      <c r="L14" s="1" t="s">
        <v>32</v>
      </c>
      <c r="M14" s="8">
        <f>P18</f>
        <v>970.7127807260556</v>
      </c>
      <c r="N14" s="1"/>
      <c r="O14" s="40" cm="1">
        <f t="array" ref="O14:Q18">LINEST(E9:E32,C9:D32,TRUE,TRUE)</f>
        <v>0.34826969666375707</v>
      </c>
      <c r="P14" s="41">
        <v>1.6779926464093222</v>
      </c>
      <c r="Q14" s="41">
        <v>62.161390075778506</v>
      </c>
    </row>
    <row r="15" spans="1:17" ht="23.1" customHeight="1">
      <c r="A15" s="5">
        <v>45474</v>
      </c>
      <c r="B15" s="6">
        <v>1</v>
      </c>
      <c r="C15" s="6">
        <v>85.9</v>
      </c>
      <c r="D15" s="6">
        <v>167</v>
      </c>
      <c r="E15" s="6">
        <v>268.56</v>
      </c>
      <c r="F15" s="3">
        <f>$M$9+$M$10*C15+$M$11*D15</f>
        <v>264.46199774518675</v>
      </c>
      <c r="G15" s="3">
        <v>4.0980022548132524</v>
      </c>
      <c r="H15" s="3">
        <v>16.793622480454502</v>
      </c>
      <c r="I15" s="1">
        <v>264.46199774518669</v>
      </c>
      <c r="L15" s="1" t="s">
        <v>34</v>
      </c>
      <c r="M15" s="8">
        <f>P16</f>
        <v>6.7988541777134897</v>
      </c>
      <c r="N15" s="1"/>
      <c r="O15" s="40">
        <v>5.1940118523795105E-2</v>
      </c>
      <c r="P15" s="41">
        <v>7.1672299517049592E-2</v>
      </c>
      <c r="Q15" s="41">
        <v>10.417213155292602</v>
      </c>
    </row>
    <row r="16" spans="1:17" ht="23.1" customHeight="1">
      <c r="A16" s="5">
        <v>45505</v>
      </c>
      <c r="B16" s="6">
        <v>1</v>
      </c>
      <c r="C16" s="6">
        <v>86</v>
      </c>
      <c r="D16" s="6">
        <v>185</v>
      </c>
      <c r="E16" s="6">
        <v>270.89999999999998</v>
      </c>
      <c r="F16" s="3">
        <f>$M$9+$M$10*C16+$M$11*D16</f>
        <v>270.89865154977531</v>
      </c>
      <c r="G16" s="3">
        <v>1.3484502246683405E-3</v>
      </c>
      <c r="H16" s="3">
        <v>1.8183180084080981E-6</v>
      </c>
      <c r="I16" s="1">
        <v>270.89865154977525</v>
      </c>
      <c r="L16" s="1" t="s">
        <v>38</v>
      </c>
      <c r="M16" s="8">
        <f>O16</f>
        <v>0.96629585123132222</v>
      </c>
      <c r="N16" s="1"/>
      <c r="O16" s="40">
        <v>0.96629585123132222</v>
      </c>
      <c r="P16" s="41">
        <v>6.7988541777134897</v>
      </c>
      <c r="Q16" s="41" t="e">
        <v>#N/A</v>
      </c>
    </row>
    <row r="17" spans="1:17" ht="23.1" customHeight="1">
      <c r="A17" s="5">
        <v>45536</v>
      </c>
      <c r="B17" s="6">
        <v>1</v>
      </c>
      <c r="C17" s="6">
        <v>127</v>
      </c>
      <c r="D17" s="6">
        <v>191</v>
      </c>
      <c r="E17" s="6">
        <v>340.01</v>
      </c>
      <c r="F17" s="3">
        <f>$M$9+$M$10*C17+$M$11*D17</f>
        <v>341.78596823254003</v>
      </c>
      <c r="G17" s="3">
        <v>-1.7759682325400377</v>
      </c>
      <c r="H17" s="3">
        <v>3.1540631629913851</v>
      </c>
      <c r="I17" s="1">
        <v>341.78596823254003</v>
      </c>
      <c r="L17" s="1" t="s">
        <v>40</v>
      </c>
      <c r="M17" s="9">
        <v>0.05</v>
      </c>
      <c r="N17" s="1"/>
      <c r="O17" s="40">
        <v>301.03434765745925</v>
      </c>
      <c r="P17" s="41">
        <v>21</v>
      </c>
      <c r="Q17" s="41" t="e">
        <v>#N/A</v>
      </c>
    </row>
    <row r="18" spans="1:17" ht="23.1" customHeight="1">
      <c r="A18" s="5">
        <v>45566</v>
      </c>
      <c r="B18" s="6">
        <v>1</v>
      </c>
      <c r="C18" s="6">
        <v>102.8</v>
      </c>
      <c r="D18" s="6">
        <v>184</v>
      </c>
      <c r="E18" s="6">
        <v>303.77</v>
      </c>
      <c r="F18" s="3">
        <f>$M$9+$M$10*C18+$M$11*D18</f>
        <v>298.74065831278813</v>
      </c>
      <c r="G18" s="3">
        <v>5.0293416872118542</v>
      </c>
      <c r="H18" s="3">
        <v>25.294277806726981</v>
      </c>
      <c r="I18" s="1">
        <v>298.74065831278813</v>
      </c>
      <c r="L18" s="1" t="s">
        <v>36</v>
      </c>
      <c r="M18" s="8">
        <f>_xlfn.T.INV.2T(M17,P17)</f>
        <v>2.07961384472768</v>
      </c>
      <c r="N18" s="1"/>
      <c r="O18" s="40">
        <v>27830.275115107277</v>
      </c>
      <c r="P18" s="41">
        <v>970.7127807260556</v>
      </c>
      <c r="Q18" s="41" t="e">
        <v>#N/A</v>
      </c>
    </row>
    <row r="19" spans="1:17" ht="23.1" customHeight="1">
      <c r="A19" s="5">
        <v>45597</v>
      </c>
      <c r="B19" s="6">
        <v>1</v>
      </c>
      <c r="C19" s="6">
        <v>83.4</v>
      </c>
      <c r="D19" s="6">
        <v>126</v>
      </c>
      <c r="E19" s="6">
        <v>249.21</v>
      </c>
      <c r="F19" s="3">
        <f>$M$9+$M$10*C19+$M$11*D19</f>
        <v>245.98795856594938</v>
      </c>
      <c r="G19" s="3">
        <v>3.2220414340506238</v>
      </c>
      <c r="H19" s="3">
        <v>10.381551002739</v>
      </c>
      <c r="I19" s="1">
        <v>245.98795856594938</v>
      </c>
      <c r="L19" s="1" t="s">
        <v>42</v>
      </c>
      <c r="M19" s="9">
        <v>0.05</v>
      </c>
      <c r="N19" s="1"/>
      <c r="O19" s="1"/>
    </row>
    <row r="20" spans="1:17" ht="23.1" customHeight="1">
      <c r="A20" s="5">
        <v>45627</v>
      </c>
      <c r="B20" s="6">
        <v>1</v>
      </c>
      <c r="C20" s="6">
        <v>79.599999999999994</v>
      </c>
      <c r="D20" s="6">
        <v>124</v>
      </c>
      <c r="E20" s="6">
        <v>232.69</v>
      </c>
      <c r="F20" s="3">
        <f>$M$9+$M$10*C20+$M$11*D20</f>
        <v>238.91504711626644</v>
      </c>
      <c r="G20" s="3">
        <v>-6.2250471162664383</v>
      </c>
      <c r="H20" s="3">
        <v>38.751211599737097</v>
      </c>
      <c r="I20" s="1">
        <v>238.91504711626644</v>
      </c>
      <c r="J20" s="1"/>
      <c r="K20" s="1"/>
      <c r="L20" s="1"/>
      <c r="M20" s="1"/>
    </row>
    <row r="21" spans="1:17" ht="23.1" customHeight="1">
      <c r="A21" s="5">
        <v>45658</v>
      </c>
      <c r="B21" s="6">
        <v>1</v>
      </c>
      <c r="C21" s="6">
        <v>79.099999999999994</v>
      </c>
      <c r="D21" s="6">
        <v>128</v>
      </c>
      <c r="E21" s="6">
        <v>246.47</v>
      </c>
      <c r="F21" s="3">
        <f>$M$9+$M$10*C21+$M$11*D21</f>
        <v>239.46912957971679</v>
      </c>
      <c r="G21" s="3">
        <v>7.0008704202832064</v>
      </c>
      <c r="H21" s="3">
        <v>49.012186641596358</v>
      </c>
      <c r="I21" s="1">
        <v>239.46912957971679</v>
      </c>
      <c r="J21" s="1"/>
      <c r="K21" s="1"/>
      <c r="L21" s="1"/>
      <c r="M21" s="1"/>
    </row>
    <row r="22" spans="1:17" ht="23.1" customHeight="1">
      <c r="A22" s="5">
        <v>45689</v>
      </c>
      <c r="B22" s="6">
        <v>1</v>
      </c>
      <c r="C22" s="6">
        <v>82.9</v>
      </c>
      <c r="D22" s="6">
        <v>146</v>
      </c>
      <c r="E22" s="6">
        <v>250.93</v>
      </c>
      <c r="F22" s="3">
        <f>$M$9+$M$10*C22+$M$11*D22</f>
        <v>252.11435617601987</v>
      </c>
      <c r="G22" s="3">
        <v>-1.1843561760198611</v>
      </c>
      <c r="H22" s="3">
        <v>1.4026995516763883</v>
      </c>
      <c r="I22" s="1">
        <v>252.11435617601987</v>
      </c>
      <c r="J22" s="1"/>
      <c r="K22" s="1"/>
      <c r="L22" s="1"/>
      <c r="M22" s="1"/>
    </row>
    <row r="23" spans="1:17" ht="23.1" customHeight="1">
      <c r="A23" s="5">
        <v>45717</v>
      </c>
      <c r="B23" s="6">
        <v>1</v>
      </c>
      <c r="C23" s="6">
        <v>81.599999999999994</v>
      </c>
      <c r="D23" s="6">
        <v>166</v>
      </c>
      <c r="E23" s="6">
        <v>251.46</v>
      </c>
      <c r="F23" s="3">
        <f>$M$9+$M$10*C23+$M$11*D23</f>
        <v>256.89835966896288</v>
      </c>
      <c r="G23" s="3">
        <v>-5.4383596689628746</v>
      </c>
      <c r="H23" s="3">
        <v>29.575755889001986</v>
      </c>
      <c r="I23" s="1">
        <v>256.89835966896288</v>
      </c>
      <c r="J23" s="1"/>
      <c r="K23" s="1"/>
      <c r="L23" s="1"/>
      <c r="M23" s="1"/>
    </row>
    <row r="24" spans="1:17" ht="23.1" customHeight="1">
      <c r="A24" s="5">
        <v>45748</v>
      </c>
      <c r="B24" s="6">
        <v>1</v>
      </c>
      <c r="C24" s="6">
        <v>79.099999999999994</v>
      </c>
      <c r="D24" s="6">
        <v>181</v>
      </c>
      <c r="E24" s="6">
        <v>257.29000000000002</v>
      </c>
      <c r="F24" s="3">
        <f>$M$9+$M$10*C24+$M$11*D24</f>
        <v>257.92742350289592</v>
      </c>
      <c r="G24" s="3">
        <v>-0.63742350289589922</v>
      </c>
      <c r="H24" s="3">
        <v>0.40630872204407842</v>
      </c>
      <c r="I24" s="1">
        <v>257.92742350289592</v>
      </c>
      <c r="J24" s="1"/>
      <c r="K24" s="1"/>
      <c r="L24" s="1"/>
      <c r="M24" s="1"/>
    </row>
    <row r="25" spans="1:17" ht="23.1" customHeight="1">
      <c r="A25" s="5">
        <v>45778</v>
      </c>
      <c r="B25" s="6">
        <v>1</v>
      </c>
      <c r="C25" s="6">
        <v>125.5</v>
      </c>
      <c r="D25" s="6">
        <v>186</v>
      </c>
      <c r="E25" s="6">
        <v>334.92</v>
      </c>
      <c r="F25" s="3">
        <f>$M$9+$M$10*C25+$M$11*D25</f>
        <v>337.52763077960725</v>
      </c>
      <c r="G25" s="3">
        <v>-2.6076307796072342</v>
      </c>
      <c r="H25" s="3">
        <v>6.7997382827550323</v>
      </c>
      <c r="I25" s="1">
        <v>337.52763077960725</v>
      </c>
      <c r="J25" s="1"/>
      <c r="K25" s="1"/>
      <c r="L25" s="1"/>
      <c r="M25" s="1"/>
    </row>
    <row r="26" spans="1:17" ht="23.1" customHeight="1">
      <c r="A26" s="5">
        <v>45809</v>
      </c>
      <c r="B26" s="6">
        <v>1</v>
      </c>
      <c r="C26" s="6">
        <v>86.6</v>
      </c>
      <c r="D26" s="6">
        <v>165</v>
      </c>
      <c r="E26" s="6">
        <v>249.17</v>
      </c>
      <c r="F26" s="3">
        <f>$M$9+$M$10*C26+$M$11*D26</f>
        <v>264.9400532043457</v>
      </c>
      <c r="G26" s="3">
        <v>-15.770053204345714</v>
      </c>
      <c r="H26" s="3">
        <v>248.69457806789453</v>
      </c>
      <c r="I26" s="1">
        <v>264.9400532043457</v>
      </c>
      <c r="J26" s="1"/>
      <c r="K26" s="1"/>
      <c r="L26" s="1"/>
      <c r="M26" s="1"/>
    </row>
    <row r="27" spans="1:17" ht="23.1" customHeight="1">
      <c r="A27" s="5">
        <v>45839</v>
      </c>
      <c r="B27" s="6">
        <v>1</v>
      </c>
      <c r="C27" s="6">
        <v>82.4</v>
      </c>
      <c r="D27" s="6">
        <v>191</v>
      </c>
      <c r="E27" s="6">
        <v>274.85000000000002</v>
      </c>
      <c r="F27" s="3">
        <f>$M$9+$M$10*C27+$M$11*D27</f>
        <v>266.94749620268425</v>
      </c>
      <c r="G27" s="3">
        <v>7.9025037973157737</v>
      </c>
      <c r="H27" s="3">
        <v>62.449566266590224</v>
      </c>
      <c r="I27" s="1">
        <v>266.94749620268425</v>
      </c>
      <c r="J27" s="1"/>
      <c r="K27" s="1"/>
      <c r="L27" s="1"/>
      <c r="M27" s="1"/>
    </row>
    <row r="28" spans="1:17" ht="23.1" customHeight="1">
      <c r="A28" s="5">
        <v>45870</v>
      </c>
      <c r="B28" s="6">
        <v>1</v>
      </c>
      <c r="C28" s="6">
        <v>105.5</v>
      </c>
      <c r="D28" s="6">
        <v>131</v>
      </c>
      <c r="E28" s="6">
        <v>289.02</v>
      </c>
      <c r="F28" s="3">
        <f>$M$9+$M$10*C28+$M$11*D28</f>
        <v>284.81294453491415</v>
      </c>
      <c r="G28" s="3">
        <v>4.2070554650858298</v>
      </c>
      <c r="H28" s="3">
        <v>17.699315686308548</v>
      </c>
      <c r="I28" s="1">
        <v>284.81294453491415</v>
      </c>
      <c r="J28" s="1"/>
      <c r="K28" s="1"/>
      <c r="L28" s="1"/>
      <c r="M28" s="1"/>
    </row>
    <row r="29" spans="1:17" ht="23.1" customHeight="1">
      <c r="A29" s="5">
        <v>45901</v>
      </c>
      <c r="B29" s="6">
        <v>1</v>
      </c>
      <c r="C29" s="6">
        <v>122.1</v>
      </c>
      <c r="D29" s="6">
        <v>134</v>
      </c>
      <c r="E29" s="6">
        <v>313.95999999999998</v>
      </c>
      <c r="F29" s="3">
        <f>$M$9+$M$10*C29+$M$11*D29</f>
        <v>313.71243155530021</v>
      </c>
      <c r="G29" s="3">
        <v>0.24756844469976613</v>
      </c>
      <c r="H29" s="3">
        <v>6.1290134811061159E-2</v>
      </c>
      <c r="I29" s="1">
        <v>313.71243155530021</v>
      </c>
      <c r="J29" s="1"/>
      <c r="K29" s="1"/>
      <c r="L29" s="1"/>
      <c r="M29" s="1"/>
    </row>
    <row r="30" spans="1:17" ht="23.1" customHeight="1">
      <c r="A30" s="5">
        <v>45931</v>
      </c>
      <c r="B30" s="6">
        <v>1</v>
      </c>
      <c r="C30" s="6">
        <v>121.7</v>
      </c>
      <c r="D30" s="6">
        <v>138</v>
      </c>
      <c r="E30" s="6">
        <v>323.37</v>
      </c>
      <c r="F30" s="3">
        <f>$M$9+$M$10*C30+$M$11*D30</f>
        <v>314.43431328339148</v>
      </c>
      <c r="G30" s="3">
        <v>8.9356867166085294</v>
      </c>
      <c r="H30" s="3">
        <v>79.846497097374126</v>
      </c>
      <c r="I30" s="1">
        <v>314.43431328339148</v>
      </c>
      <c r="J30" s="1"/>
      <c r="K30" s="1"/>
      <c r="L30" s="1"/>
      <c r="M30" s="1"/>
    </row>
    <row r="31" spans="1:17" ht="23.1" customHeight="1">
      <c r="A31" s="5">
        <v>45962</v>
      </c>
      <c r="B31" s="6">
        <v>1</v>
      </c>
      <c r="C31" s="6">
        <v>101.8</v>
      </c>
      <c r="D31" s="6">
        <v>116</v>
      </c>
      <c r="E31" s="6">
        <v>280.67</v>
      </c>
      <c r="F31" s="3">
        <f>$M$9+$M$10*C31+$M$11*D31</f>
        <v>273.38032629324334</v>
      </c>
      <c r="G31" s="3">
        <v>7.2896737067566733</v>
      </c>
      <c r="H31" s="3">
        <v>53.13934275097958</v>
      </c>
      <c r="I31" s="1">
        <v>273.38032629324334</v>
      </c>
      <c r="J31" s="1"/>
      <c r="K31" s="1"/>
      <c r="L31" s="1"/>
      <c r="M31" s="1"/>
    </row>
    <row r="32" spans="1:17" ht="23.1" customHeight="1">
      <c r="A32" s="5">
        <v>45992</v>
      </c>
      <c r="B32" s="6">
        <v>1</v>
      </c>
      <c r="C32" s="6">
        <v>108.1</v>
      </c>
      <c r="D32" s="6">
        <v>188</v>
      </c>
      <c r="E32" s="6">
        <v>309.55</v>
      </c>
      <c r="F32" s="3">
        <f>$M$9+$M$10*C32+$M$11*D32</f>
        <v>309.02709812541258</v>
      </c>
      <c r="G32" s="3">
        <v>0.52290187458743276</v>
      </c>
      <c r="H32" s="3">
        <v>0.27342637044705126</v>
      </c>
      <c r="I32" s="1">
        <v>309.02709812541258</v>
      </c>
      <c r="J32" s="1"/>
      <c r="K32" s="1"/>
      <c r="L32" s="1"/>
      <c r="M32" s="1"/>
    </row>
    <row r="33" spans="1:13" ht="23.1" customHeight="1">
      <c r="A33" s="1"/>
      <c r="B33" s="1"/>
      <c r="C33" s="1"/>
      <c r="D33" s="1"/>
      <c r="E33" s="1"/>
      <c r="F33" s="1"/>
      <c r="G33" s="1"/>
      <c r="H33" s="1">
        <f>SUM(H9:H32)</f>
        <v>970.71278072605514</v>
      </c>
      <c r="I33" s="1"/>
      <c r="J33" s="1"/>
      <c r="K33" s="1"/>
      <c r="L33" s="1"/>
      <c r="M33" s="1"/>
    </row>
    <row r="34" spans="1:13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3.1" customHeight="1">
      <c r="A35" s="1" t="s">
        <v>70</v>
      </c>
      <c r="B35" s="1"/>
      <c r="C35" s="1"/>
      <c r="D35" s="1"/>
      <c r="E35" s="1"/>
      <c r="F35" s="1" t="s">
        <v>71</v>
      </c>
      <c r="G35" s="1"/>
      <c r="H35" s="1"/>
      <c r="I35" s="1"/>
      <c r="J35" s="1" t="s">
        <v>72</v>
      </c>
      <c r="K35" s="1"/>
      <c r="L35" s="1"/>
      <c r="M35" s="1"/>
    </row>
    <row r="36" spans="1:13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3.1" customHeight="1">
      <c r="A37" s="3" cm="1">
        <f t="array" ref="A37:C39">MMULT(TRANSPOSE(B9:D32),B9:D32)</f>
        <v>24</v>
      </c>
      <c r="B37" s="3">
        <v>2321.6999999999998</v>
      </c>
      <c r="C37" s="3">
        <v>3623</v>
      </c>
      <c r="D37" s="3"/>
      <c r="E37" s="1"/>
      <c r="F37" s="13" cm="1">
        <f t="array" ref="F37:H39">MINVERSE(_xlfn.ANCHORARRAY(A37))</f>
        <v>2.3476407992427086</v>
      </c>
      <c r="G37" s="13">
        <v>-1.041971183917074E-2</v>
      </c>
      <c r="H37" s="13">
        <v>-8.5983809563406812E-3</v>
      </c>
      <c r="I37" s="1"/>
      <c r="J37" s="3" cm="1">
        <f t="array" ref="J37:J39">MMULT(TRANSPOSE(B9:D32),E9:E32)</f>
        <v>6649.45</v>
      </c>
      <c r="K37" s="1"/>
      <c r="L37" s="1"/>
      <c r="M37" s="1"/>
    </row>
    <row r="38" spans="1:13" ht="23.1" customHeight="1">
      <c r="A38" s="3">
        <v>2321.6999999999998</v>
      </c>
      <c r="B38" s="3">
        <v>233600.59</v>
      </c>
      <c r="C38" s="3">
        <v>350817.99999999994</v>
      </c>
      <c r="D38" s="3"/>
      <c r="E38" s="1"/>
      <c r="F38" s="13">
        <v>-1.0419711839170748E-2</v>
      </c>
      <c r="G38" s="13">
        <v>1.1112997688008988E-4</v>
      </c>
      <c r="H38" s="13">
        <v>-2.1908316815917053E-6</v>
      </c>
      <c r="I38" s="1"/>
      <c r="J38" s="3">
        <v>658479.44999999995</v>
      </c>
      <c r="K38" s="1"/>
      <c r="L38" s="1"/>
      <c r="M38" s="1"/>
    </row>
    <row r="39" spans="1:13" ht="23.1" customHeight="1">
      <c r="A39" s="3">
        <v>3623</v>
      </c>
      <c r="B39" s="3">
        <v>350817.99999999994</v>
      </c>
      <c r="C39" s="3">
        <v>564069</v>
      </c>
      <c r="D39" s="3"/>
      <c r="E39" s="1"/>
      <c r="F39" s="13">
        <v>-8.5983809563406777E-3</v>
      </c>
      <c r="G39" s="13">
        <v>-2.1908316815917452E-6</v>
      </c>
      <c r="H39" s="13">
        <v>5.8362571589105109E-5</v>
      </c>
      <c r="I39" s="1"/>
      <c r="J39" s="3">
        <v>1010328.88</v>
      </c>
      <c r="K39" s="1"/>
      <c r="L39" s="1"/>
      <c r="M39" s="1"/>
    </row>
    <row r="40" spans="1:13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3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3.1" customHeight="1">
      <c r="A43" s="1"/>
      <c r="B43" s="45" t="s">
        <v>131</v>
      </c>
      <c r="C43" s="45"/>
      <c r="D43" s="45"/>
      <c r="E43" s="1"/>
      <c r="F43" s="43" t="s">
        <v>129</v>
      </c>
      <c r="G43" s="1"/>
      <c r="H43" s="1"/>
      <c r="I43" s="1"/>
      <c r="J43" s="1"/>
      <c r="K43" s="1"/>
      <c r="L43" s="1"/>
      <c r="M43" s="1"/>
    </row>
    <row r="44" spans="1:13" ht="38.1" customHeight="1">
      <c r="A44" s="2" t="s">
        <v>21</v>
      </c>
      <c r="B44" s="2" t="s">
        <v>130</v>
      </c>
      <c r="C44" s="2" t="s">
        <v>73</v>
      </c>
      <c r="D44" s="2" t="s">
        <v>74</v>
      </c>
      <c r="E44" s="2" t="s">
        <v>45</v>
      </c>
      <c r="F44" s="2" t="s">
        <v>75</v>
      </c>
      <c r="G44" s="2" t="s">
        <v>46</v>
      </c>
      <c r="H44" s="2" t="s">
        <v>47</v>
      </c>
      <c r="I44" s="2" t="s">
        <v>48</v>
      </c>
      <c r="J44" s="2" t="s">
        <v>49</v>
      </c>
      <c r="K44" s="2" t="s">
        <v>51</v>
      </c>
      <c r="L44" s="2" t="s">
        <v>76</v>
      </c>
      <c r="M44" s="2" t="s">
        <v>54</v>
      </c>
    </row>
    <row r="45" spans="1:13" ht="23.1" customHeight="1">
      <c r="A45" s="5">
        <v>46023</v>
      </c>
      <c r="B45" s="44">
        <v>1</v>
      </c>
      <c r="C45" s="43">
        <v>80.2</v>
      </c>
      <c r="D45" s="43">
        <v>197</v>
      </c>
      <c r="E45" s="3">
        <f>$M$9+$M$10*C45+D45*$M$11</f>
        <v>265.34553056056632</v>
      </c>
      <c r="F45" s="8" cm="1">
        <f t="array" ref="F45">MMULT(MMULT(B45:D45,_xlfn.ANCHORARRAY($F$37)),TRANSPOSE(B45:D45))</f>
        <v>0.19911476859460631</v>
      </c>
      <c r="G45" s="3">
        <f>$M$15*SQRT(1+F45)</f>
        <v>7.4450240059485395</v>
      </c>
      <c r="H45" s="3">
        <f>E45-G45</f>
        <v>257.90050655461778</v>
      </c>
      <c r="I45" s="3">
        <f>E45+G45</f>
        <v>272.79055456651486</v>
      </c>
      <c r="J45" s="12">
        <f>G45/ABS(E45)</f>
        <v>2.8057845897084665E-2</v>
      </c>
      <c r="K45" s="3">
        <f>Realizacje!C7</f>
        <v>263.27</v>
      </c>
      <c r="L45" s="3">
        <f>K45-E45</f>
        <v>-2.0755305605663352</v>
      </c>
      <c r="M45" s="3" t="s">
        <v>121</v>
      </c>
    </row>
    <row r="46" spans="1:13" ht="23.1" customHeight="1">
      <c r="A46" s="5">
        <v>46054</v>
      </c>
      <c r="B46" s="44">
        <v>1</v>
      </c>
      <c r="C46" s="43">
        <v>103.5</v>
      </c>
      <c r="D46" s="43">
        <v>179</v>
      </c>
      <c r="E46" s="3">
        <f t="shared" ref="E46:E47" si="0">$M$9+$M$10*C46+D46*$M$11</f>
        <v>298.17390468195589</v>
      </c>
      <c r="F46" s="8" cm="1">
        <f t="array" ref="F46">MMULT(MMULT(B46:D46,_xlfn.ANCHORARRAY($F$37)),TRANSPOSE(B46:D46))</f>
        <v>9.1810430986642988E-2</v>
      </c>
      <c r="G46" s="3">
        <f t="shared" ref="G46:G47" si="1">$M$15*SQRT(1+F46)</f>
        <v>7.104104579777597</v>
      </c>
      <c r="H46" s="3">
        <f t="shared" ref="H46:H47" si="2">E46-G46</f>
        <v>291.06980010217831</v>
      </c>
      <c r="I46" s="3">
        <f t="shared" ref="I46:I47" si="3">E46+G46</f>
        <v>305.27800926173347</v>
      </c>
      <c r="J46" s="12">
        <f t="shared" ref="J46:J47" si="4">G46/ABS(E46)</f>
        <v>2.3825373274549685E-2</v>
      </c>
      <c r="K46" s="3">
        <f>Realizacje!C8</f>
        <v>303.14999999999998</v>
      </c>
      <c r="L46" s="3">
        <f t="shared" ref="L46:L47" si="5">K46-E46</f>
        <v>4.9760953180440879</v>
      </c>
      <c r="M46" s="3" t="s">
        <v>121</v>
      </c>
    </row>
    <row r="47" spans="1:13" ht="23.1" customHeight="1">
      <c r="A47" s="5">
        <v>46082</v>
      </c>
      <c r="B47" s="44">
        <v>1</v>
      </c>
      <c r="C47" s="43">
        <v>115.3</v>
      </c>
      <c r="D47" s="43">
        <v>156</v>
      </c>
      <c r="E47" s="3">
        <f t="shared" si="0"/>
        <v>309.96401488631943</v>
      </c>
      <c r="F47" s="8" cm="1">
        <f t="array" ref="F47">MMULT(MMULT(B47:D47,_xlfn.ANCHORARRAY($F$37)),TRANSPOSE(B47:D47))</f>
        <v>8.1031744705031161E-2</v>
      </c>
      <c r="G47" s="3">
        <f t="shared" si="1"/>
        <v>7.0689506561331807</v>
      </c>
      <c r="H47" s="3">
        <f t="shared" si="2"/>
        <v>302.89506423018628</v>
      </c>
      <c r="I47" s="3">
        <f t="shared" si="3"/>
        <v>317.03296554245259</v>
      </c>
      <c r="J47" s="12">
        <f t="shared" si="4"/>
        <v>2.280571394303867E-2</v>
      </c>
      <c r="K47" s="3">
        <f>Realizacje!C9</f>
        <v>309.02</v>
      </c>
      <c r="L47" s="3">
        <f t="shared" si="5"/>
        <v>-0.94401488631945085</v>
      </c>
      <c r="M47" s="3" t="s">
        <v>121</v>
      </c>
    </row>
    <row r="48" spans="1:13" ht="23.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30" customHeight="1">
      <c r="A50" s="15" t="s">
        <v>77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ht="44.1" customHeight="1">
      <c r="A51" s="18" t="s">
        <v>56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39.950000000000003" customHeight="1">
      <c r="A53" s="15" t="s">
        <v>78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3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3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23.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3.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23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3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23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23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23.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23.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23.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23.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23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23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23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23.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23.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23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23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23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23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23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23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23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23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3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23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23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23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23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23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23.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</sheetData>
  <mergeCells count="11">
    <mergeCell ref="A6:M6"/>
    <mergeCell ref="A7:M7"/>
    <mergeCell ref="A50:M50"/>
    <mergeCell ref="A51:M51"/>
    <mergeCell ref="A53:M53"/>
    <mergeCell ref="B43:D43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5A3B"/>
  </sheetPr>
  <dimension ref="A1:F18"/>
  <sheetViews>
    <sheetView showGridLines="0" workbookViewId="0">
      <selection activeCell="C7" sqref="C7:C9"/>
    </sheetView>
  </sheetViews>
  <sheetFormatPr defaultRowHeight="14.25"/>
  <cols>
    <col min="1" max="3" width="22" customWidth="1"/>
    <col min="4" max="6" width="13" customWidth="1"/>
  </cols>
  <sheetData>
    <row r="1" spans="1:6" ht="23.1" customHeight="1">
      <c r="A1" s="1"/>
      <c r="B1" s="1"/>
      <c r="C1" s="1"/>
      <c r="D1" s="1"/>
      <c r="E1" s="1"/>
      <c r="F1" s="1"/>
    </row>
    <row r="2" spans="1:6" ht="30" customHeight="1">
      <c r="A2" s="16" t="s">
        <v>79</v>
      </c>
      <c r="B2" s="16"/>
      <c r="C2" s="16"/>
      <c r="D2" s="16"/>
      <c r="E2" s="16"/>
      <c r="F2" s="16"/>
    </row>
    <row r="3" spans="1:6" ht="23.1" customHeight="1">
      <c r="A3" s="1"/>
      <c r="B3" s="1"/>
      <c r="C3" s="1"/>
      <c r="D3" s="1"/>
      <c r="E3" s="1"/>
      <c r="F3" s="1"/>
    </row>
    <row r="4" spans="1:6" ht="44.1" customHeight="1">
      <c r="A4" s="15" t="s">
        <v>80</v>
      </c>
      <c r="B4" s="15"/>
      <c r="C4" s="15"/>
      <c r="D4" s="15"/>
      <c r="E4" s="15"/>
      <c r="F4" s="15"/>
    </row>
    <row r="5" spans="1:6" ht="23.1" customHeight="1">
      <c r="A5" s="1"/>
      <c r="B5" s="1"/>
      <c r="C5" s="1"/>
      <c r="D5" s="1"/>
      <c r="E5" s="1"/>
      <c r="F5" s="1"/>
    </row>
    <row r="6" spans="1:6" ht="38.1" customHeight="1">
      <c r="A6" s="2" t="s">
        <v>21</v>
      </c>
      <c r="B6" s="2" t="s">
        <v>81</v>
      </c>
      <c r="C6" s="2" t="s">
        <v>82</v>
      </c>
      <c r="D6" s="1"/>
      <c r="E6" s="1"/>
      <c r="F6" s="1"/>
    </row>
    <row r="7" spans="1:6" ht="23.1" customHeight="1">
      <c r="A7" s="4">
        <v>46023</v>
      </c>
      <c r="B7" s="1">
        <v>269.48</v>
      </c>
      <c r="C7" s="1">
        <v>263.27</v>
      </c>
      <c r="D7" s="1"/>
      <c r="E7" s="1"/>
      <c r="F7" s="1"/>
    </row>
    <row r="8" spans="1:6" ht="23.1" customHeight="1">
      <c r="A8" s="4">
        <v>46054</v>
      </c>
      <c r="B8" s="1">
        <v>311.17</v>
      </c>
      <c r="C8" s="1">
        <v>303.14999999999998</v>
      </c>
      <c r="D8" s="1"/>
      <c r="E8" s="1"/>
      <c r="F8" s="1"/>
    </row>
    <row r="9" spans="1:6" ht="23.1" customHeight="1">
      <c r="A9" s="4">
        <v>46082</v>
      </c>
      <c r="B9" s="1">
        <v>288.11</v>
      </c>
      <c r="C9" s="1">
        <v>309.02</v>
      </c>
      <c r="D9" s="1"/>
      <c r="E9" s="1"/>
      <c r="F9" s="1"/>
    </row>
    <row r="10" spans="1:6" ht="23.1" customHeight="1">
      <c r="A10" s="1"/>
      <c r="B10" s="1"/>
      <c r="C10" s="1"/>
      <c r="D10" s="1"/>
      <c r="E10" s="1"/>
      <c r="F10" s="1"/>
    </row>
    <row r="11" spans="1:6" ht="23.1" customHeight="1">
      <c r="A11" s="1"/>
      <c r="B11" s="1"/>
      <c r="C11" s="1"/>
      <c r="D11" s="1"/>
      <c r="E11" s="1"/>
      <c r="F11" s="1"/>
    </row>
    <row r="12" spans="1:6" ht="39.950000000000003" customHeight="1">
      <c r="A12" s="15" t="s">
        <v>83</v>
      </c>
      <c r="B12" s="15"/>
      <c r="C12" s="15"/>
      <c r="D12" s="15"/>
      <c r="E12" s="15"/>
      <c r="F12" s="15"/>
    </row>
    <row r="13" spans="1:6" ht="23.1" customHeight="1">
      <c r="A13" s="1"/>
      <c r="B13" s="1"/>
      <c r="C13" s="1"/>
      <c r="D13" s="1"/>
      <c r="E13" s="1"/>
      <c r="F13" s="1"/>
    </row>
    <row r="14" spans="1:6" ht="23.1" customHeight="1">
      <c r="A14" s="1"/>
      <c r="B14" s="1"/>
      <c r="C14" s="1"/>
      <c r="D14" s="1"/>
      <c r="E14" s="1"/>
      <c r="F14" s="1"/>
    </row>
    <row r="15" spans="1:6" ht="23.1" customHeight="1">
      <c r="A15" s="1"/>
      <c r="B15" s="1"/>
      <c r="C15" s="1"/>
      <c r="D15" s="1"/>
      <c r="E15" s="1"/>
      <c r="F15" s="1"/>
    </row>
    <row r="16" spans="1:6" ht="23.1" customHeight="1">
      <c r="A16" s="1"/>
      <c r="B16" s="1"/>
      <c r="C16" s="1"/>
      <c r="D16" s="1"/>
      <c r="E16" s="1"/>
      <c r="F16" s="1"/>
    </row>
    <row r="17" spans="1:6" ht="23.1" customHeight="1">
      <c r="A17" s="1"/>
      <c r="B17" s="1"/>
      <c r="C17" s="1"/>
      <c r="D17" s="1"/>
      <c r="E17" s="1"/>
      <c r="F17" s="1"/>
    </row>
    <row r="18" spans="1:6" ht="23.1" customHeight="1">
      <c r="A18" s="1"/>
      <c r="B18" s="1"/>
      <c r="C18" s="1"/>
      <c r="D18" s="1"/>
      <c r="E18" s="1"/>
      <c r="F18" s="1"/>
    </row>
  </sheetData>
  <mergeCells count="3">
    <mergeCell ref="A2:F2"/>
    <mergeCell ref="A4:F4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Instrukcja</vt:lpstr>
      <vt:lpstr>Trend</vt:lpstr>
      <vt:lpstr>Koszty</vt:lpstr>
      <vt:lpstr>Realizacje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Kwaśniewska</cp:lastModifiedBy>
  <dcterms:modified xsi:type="dcterms:W3CDTF">2026-10-25T12:19:04Z</dcterms:modified>
</cp:coreProperties>
</file>